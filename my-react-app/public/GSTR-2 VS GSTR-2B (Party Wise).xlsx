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4FCB0931-0897-445D-B83F-EF723F1A7B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rty wise compa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/>
  <c r="I21" i="1"/>
  <c r="J21" i="1"/>
  <c r="K21" i="1"/>
  <c r="F21" i="1"/>
</calcChain>
</file>

<file path=xl/sharedStrings.xml><?xml version="1.0" encoding="utf-8"?>
<sst xmlns="http://schemas.openxmlformats.org/spreadsheetml/2006/main" count="67" uniqueCount="56">
  <si>
    <t>GSTIN/ UID</t>
  </si>
  <si>
    <t>Party Name</t>
  </si>
  <si>
    <t>Section</t>
  </si>
  <si>
    <t>No of invoices in gstr2</t>
  </si>
  <si>
    <t>No of invoices in gstr2B</t>
  </si>
  <si>
    <t>Taxable Value-gstr2</t>
  </si>
  <si>
    <t>Taxable Value-gstr2B</t>
  </si>
  <si>
    <t>Tax Value-gstr2</t>
  </si>
  <si>
    <t>Tax Value-gstr2B</t>
  </si>
  <si>
    <t>Taxable Value Difference</t>
  </si>
  <si>
    <t>Tax Value Difference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</si>
  <si>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</si>
  <si>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</si>
  <si>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</si>
  <si>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</si>
  <si>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</si>
  <si>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</si>
  <si>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</si>
  <si>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</si>
  <si>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</si>
  <si>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</si>
  <si>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</si>
  <si>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09ALXPK5904B2ZV</t>
  </si>
  <si>
    <t>D.K. IRON STORE</t>
  </si>
  <si>
    <t>B2B</t>
  </si>
  <si>
    <t>09DQHPS5297H1Z1</t>
  </si>
  <si>
    <t>INTERIOR DECOR</t>
  </si>
  <si>
    <t>09AJCPA8433C1ZN</t>
  </si>
  <si>
    <t>M/S MEERUT STEELS</t>
  </si>
  <si>
    <t>09AYMPH6180Q1ZJ</t>
  </si>
  <si>
    <t>National Enterprises</t>
  </si>
  <si>
    <t>09BHUPA6745E1Z2</t>
  </si>
  <si>
    <t>NATIONAL STEEL</t>
  </si>
  <si>
    <t>09DETPB4286R1ZF</t>
  </si>
  <si>
    <t>S.D.S COLLECTION</t>
  </si>
  <si>
    <t>09AACFS9114M1ZS</t>
  </si>
  <si>
    <t>SHYAM LAL PREM PARKASH</t>
  </si>
  <si>
    <t>09ABKPY8149D1Z1</t>
  </si>
  <si>
    <t>Ultimate Decor Particle</t>
  </si>
  <si>
    <t>09AAACK4490K1Z7</t>
  </si>
  <si>
    <t>M/S KAY DEE AUDIOVISIONS PRIVATE LIMITED</t>
  </si>
  <si>
    <t>09FXVPM5902G1ZV</t>
  </si>
  <si>
    <t>M/S UMAR BUILDING MATRIAL</t>
  </si>
  <si>
    <t>09AEUPG0820N1Z4</t>
  </si>
  <si>
    <t>SHRI RADHEY STEELS</t>
  </si>
  <si>
    <t>09CGFPA6633Q1ZY</t>
  </si>
  <si>
    <t>THE OLYMPIC SPORTS</t>
  </si>
  <si>
    <t>Name</t>
  </si>
  <si>
    <t>LAVI INDIA INDUSTRIES</t>
  </si>
  <si>
    <t>Legal Name</t>
  </si>
  <si>
    <t>RUBEENA</t>
  </si>
  <si>
    <t>GSTIN</t>
  </si>
  <si>
    <t>09CMIPR8447Q2ZS</t>
  </si>
  <si>
    <t>Financial Year</t>
  </si>
  <si>
    <t>2024-2025</t>
  </si>
  <si>
    <t>GSTR-2 Vs GSTR-2B  (Party Wise Report)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</si>
</sst>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9"/>
      <color indexed="8"/>
      <name val="Verdana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9">
    <xf numFmtId="0" fontId="0" fillId="0" borderId="0" xfId="0"/>
    <xf numFmtId="0" fontId="2" fillId="0" borderId="0" xfId="0" applyFont="1"/>
    <xf numFmtId="2" fontId="0" fillId="0" borderId="0" xfId="0" applyNumberFormat="1"/>
    <xf numFmtId="0" fontId="5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3" xfId="1" applyFont="1" applyBorder="1" applyAlignment="1">
      <alignment horizontal="left"/>
    </xf>
    <xf numFmtId="0" fontId="1" fillId="0" borderId="4" xfId="1" applyFont="1" applyBorder="1" applyAlignment="1">
      <alignment horizontal="left"/>
    </xf>
    <xf numFmtId="0" fontId="5" fillId="0" borderId="1" xfId="0" applyFont="1" applyBorder="1"/>
    <xf numFmtId="0" fontId="1" fillId="0" borderId="5" xfId="0" applyFont="1" applyBorder="1" applyAlignment="1">
      <alignment horizontal="left"/>
    </xf>
    <xf numFmtId="0" fontId="1" fillId="0" borderId="5" xfId="1" applyFont="1" applyBorder="1" applyAlignment="1">
      <alignment horizontal="left"/>
    </xf>
    <xf numFmtId="0" fontId="1" fillId="0" borderId="6" xfId="1" applyFont="1" applyBorder="1" applyAlignment="1">
      <alignment horizontal="left"/>
    </xf>
    <xf numFmtId="0" fontId="5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8" xfId="1" applyFont="1" applyBorder="1" applyAlignment="1">
      <alignment horizontal="left"/>
    </xf>
    <xf numFmtId="0" fontId="1" fillId="0" borderId="9" xfId="1" applyFont="1" applyBorder="1" applyAlignment="1">
      <alignment horizontal="left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1" xfId="6" applyFont="1" applyFill="1" applyBorder="1" applyAlignment="1">
      <alignment horizontal="center" vertical="center" wrapText="1"/>
    </xf>
    <xf numFmtId="0" fontId="3" fillId="2" borderId="1" xfId="7" applyFont="1" applyFill="1" applyBorder="1" applyAlignment="1">
      <alignment horizontal="center" vertical="center" wrapText="1"/>
    </xf>
    <xf numFmtId="0" fontId="3" fillId="2" borderId="1" xfId="4" quotePrefix="1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6" quotePrefix="1" applyFont="1" applyFill="1" applyBorder="1" applyAlignment="1">
      <alignment horizontal="center" vertical="center" wrapText="1"/>
    </xf>
    <xf numFmtId="0" fontId="3" fillId="2" borderId="1" xfId="7" quotePrefix="1" applyFont="1" applyFill="1" applyBorder="1" applyAlignment="1">
      <alignment horizontal="center" vertical="center" wrapText="1"/>
    </xf>
    <xf numFmtId="0" fontId="3" fillId="2" borderId="1" xfId="7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1" applyFont="1" applyBorder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4" xr:uid="{00000000-0005-0000-0000-000022000000}"/>
    <cellStyle name="Normal 3" xfId="5" xr:uid="{00000000-0005-0000-0000-000027000000}"/>
    <cellStyle name="Normal 4" xfId="3" xr:uid="{00000000-0005-0000-0000-000017000000}"/>
    <cellStyle name="Normal 5" xfId="2" xr:uid="{00000000-0005-0000-0000-000008000000}"/>
    <cellStyle name="Normal 6" xfId="6" xr:uid="{00000000-0005-0000-0000-000031000000}"/>
    <cellStyle name="Normal 7" xfId="7" xr:uid="{00000000-0005-0000-0000-000035000000}"/>
  </cellStyles>
  <dxfs count="0"/>
  <tableStyles count="0" defaultTableStyle="TableStyleMedium2" defaultPivotStyle="PivotStyleLight16"/>
  <colors>
    <mruColors>
      <color rgb="FFFFCC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1"/>
  <sheetViews>
    <sheetView tabSelected="1" workbookViewId="0">
      <selection sqref="A1:G1"/>
    </sheetView>
  </sheetViews>
  <sheetFormatPr defaultColWidth="0.109375" defaultRowHeight="14.4" x14ac:dyDescent="0.3"/>
  <cols>
    <col min="1" max="1" width="22.33203125" customWidth="1"/>
    <col min="2" max="2" width="27.33203125" customWidth="1"/>
    <col min="3" max="3" width="7.6640625" bestFit="1" customWidth="1"/>
    <col min="4" max="4" width="12.6640625" customWidth="1"/>
    <col min="5" max="5" width="14.109375" customWidth="1"/>
    <col min="6" max="6" width="14" style="2" customWidth="1"/>
    <col min="7" max="7" width="16.5546875" style="2" customWidth="1"/>
    <col min="8" max="8" width="12.6640625" style="2" customWidth="1"/>
    <col min="9" max="9" width="11.21875" style="2" customWidth="1"/>
    <col min="10" max="10" width="11.5546875" style="2" customWidth="1"/>
    <col min="11" max="11" width="12.6640625" style="2" customWidth="1"/>
    <col min="12" max="255" width="9.109375" hidden="1" customWidth="1"/>
  </cols>
  <sheetData>
    <row r="1" spans="1:11" s="1" customFormat="1" ht="15.6" x14ac:dyDescent="0.3">
      <c r="A1" s="27" t="s">
        <v>55</v>
      </c>
      <c r="B1" s="27"/>
      <c r="C1" s="27"/>
      <c r="D1" s="27"/>
      <c r="E1" s="27"/>
      <c r="F1" s="28"/>
      <c r="G1" s="28"/>
    </row>
    <row r="2" spans="1:11" s="1" customFormat="1" ht="15.6" x14ac:dyDescent="0.3">
      <c r="A2" s="3" t="s">
        <v>47</v>
      </c>
      <c r="B2" s="4" t="s">
        <v>48</v>
      </c>
      <c r="C2" s="4"/>
      <c r="D2" s="4"/>
      <c r="E2" s="4"/>
      <c r="F2" s="5"/>
      <c r="G2" s="6"/>
    </row>
    <row r="3" spans="1:11" s="1" customFormat="1" ht="15.6" x14ac:dyDescent="0.3">
      <c r="A3" s="3" t="s">
        <v>49</v>
      </c>
      <c r="B3" s="4" t="s">
        <v>50</v>
      </c>
      <c r="C3" s="4"/>
      <c r="D3" s="4"/>
      <c r="E3" s="4"/>
      <c r="F3" s="5"/>
      <c r="G3" s="6"/>
    </row>
    <row r="4" spans="1:11" s="1" customFormat="1" ht="15.6" x14ac:dyDescent="0.3">
      <c r="A4" s="7" t="s">
        <v>51</v>
      </c>
      <c r="B4" s="8" t="s">
        <v>52</v>
      </c>
      <c r="C4" s="8"/>
      <c r="D4" s="8"/>
      <c r="E4" s="8"/>
      <c r="F4" s="9"/>
      <c r="G4" s="10"/>
    </row>
    <row r="5" spans="1:11" s="1" customFormat="1" ht="15.6" x14ac:dyDescent="0.3">
      <c r="A5" s="11" t="s">
        <v>53</v>
      </c>
      <c r="B5" s="12" t="s">
        <v>54</v>
      </c>
      <c r="C5" s="12"/>
      <c r="D5" s="12"/>
      <c r="E5" s="12"/>
      <c r="F5" s="13"/>
      <c r="G5" s="14"/>
    </row>
    <row r="6" spans="1:11" s="26" customFormat="1" ht="15" customHeight="1" x14ac:dyDescent="0.3">
      <c r="A6" s="15" t="s">
        <v>0</v>
      </c>
      <c r="B6" s="15" t="s">
        <v>1</v>
      </c>
      <c r="C6" s="15" t="s">
        <v>2</v>
      </c>
      <c r="D6" s="16" t="s">
        <v>3</v>
      </c>
      <c r="E6" s="16" t="s">
        <v>4</v>
      </c>
      <c r="F6" s="17" t="s">
        <v>5</v>
      </c>
      <c r="G6" s="18" t="s">
        <v>6</v>
      </c>
      <c r="H6" s="18" t="s">
        <v>7</v>
      </c>
      <c r="I6" s="18" t="s">
        <v>8</v>
      </c>
      <c r="J6" s="18" t="s">
        <v>9</v>
      </c>
      <c r="K6" s="18" t="s">
        <v>10</v>
      </c>
    </row>
    <row r="7" spans="1:11" s="26" customFormat="1" ht="29.25" customHeight="1" x14ac:dyDescent="0.3">
      <c r="A7" s="15"/>
      <c r="B7" s="15"/>
      <c r="C7" s="15"/>
      <c r="D7" s="16"/>
      <c r="E7" s="16"/>
      <c r="F7" s="17"/>
      <c r="G7" s="18"/>
      <c r="H7" s="18"/>
      <c r="I7" s="18"/>
      <c r="J7" s="18"/>
      <c r="K7" s="18"/>
    </row>
    <row r="8" spans="1:11" x14ac:dyDescent="0.3">
      <c r="A8" s="19" t="s">
        <v>11</v>
      </c>
      <c r="B8" s="19" t="s">
        <v>12</v>
      </c>
      <c r="C8" s="20" t="s">
        <v>13</v>
      </c>
      <c r="D8" s="21" t="s">
        <v>14</v>
      </c>
      <c r="E8" s="21" t="s">
        <v>15</v>
      </c>
      <c r="F8" s="22" t="s">
        <v>16</v>
      </c>
      <c r="G8" s="23" t="s">
        <v>17</v>
      </c>
      <c r="H8" s="22" t="s">
        <v>18</v>
      </c>
      <c r="I8" s="22" t="s">
        <v>19</v>
      </c>
      <c r="J8" s="22" t="s">
        <v>20</v>
      </c>
      <c r="K8" s="22" t="s">
        <v>21</v>
      </c>
    </row>
    <row r="9" spans="1:11" x14ac:dyDescent="0.3">
      <c r="A9" s="24" t="s">
        <v>22</v>
      </c>
      <c r="B9" s="24" t="s">
        <v>23</v>
      </c>
      <c r="C9" s="24" t="s">
        <v>24</v>
      </c>
      <c r="D9" s="24">
        <v>18</v>
      </c>
      <c r="E9" s="24">
        <v>32</v>
      </c>
      <c r="F9" s="25">
        <v>4334314.05</v>
      </c>
      <c r="G9" s="25">
        <v>8040688.6100000003</v>
      </c>
      <c r="H9" s="25">
        <v>780176.5</v>
      </c>
      <c r="I9" s="25">
        <v>1447323.94</v>
      </c>
      <c r="J9" s="25">
        <v>3706374.56</v>
      </c>
      <c r="K9" s="25">
        <v>667147.43999999994</v>
      </c>
    </row>
    <row r="10" spans="1:11" x14ac:dyDescent="0.3">
      <c r="A10" s="24" t="s">
        <v>25</v>
      </c>
      <c r="B10" s="24" t="s">
        <v>26</v>
      </c>
      <c r="C10" s="24" t="s">
        <v>24</v>
      </c>
      <c r="D10" s="24">
        <v>5</v>
      </c>
      <c r="E10" s="24">
        <v>5</v>
      </c>
      <c r="F10" s="25">
        <v>1400000</v>
      </c>
      <c r="G10" s="25">
        <v>1400000</v>
      </c>
      <c r="H10" s="25">
        <v>252000</v>
      </c>
      <c r="I10" s="25">
        <v>252000</v>
      </c>
      <c r="J10" s="25">
        <v>0</v>
      </c>
      <c r="K10" s="25">
        <v>0</v>
      </c>
    </row>
    <row r="11" spans="1:11" x14ac:dyDescent="0.3">
      <c r="A11" s="24" t="s">
        <v>27</v>
      </c>
      <c r="B11" s="24" t="s">
        <v>28</v>
      </c>
      <c r="C11" s="24" t="s">
        <v>24</v>
      </c>
      <c r="D11" s="24">
        <v>1</v>
      </c>
      <c r="E11" s="24">
        <v>1</v>
      </c>
      <c r="F11" s="25">
        <v>296704</v>
      </c>
      <c r="G11" s="25">
        <v>296704.40000000002</v>
      </c>
      <c r="H11" s="25">
        <v>53406.720000000001</v>
      </c>
      <c r="I11" s="25">
        <v>53406.8</v>
      </c>
      <c r="J11" s="25">
        <v>0.4</v>
      </c>
      <c r="K11" s="25">
        <v>0.08</v>
      </c>
    </row>
    <row r="12" spans="1:11" x14ac:dyDescent="0.3">
      <c r="A12" s="24" t="s">
        <v>29</v>
      </c>
      <c r="B12" s="24" t="s">
        <v>30</v>
      </c>
      <c r="C12" s="24" t="s">
        <v>24</v>
      </c>
      <c r="D12" s="24">
        <v>13</v>
      </c>
      <c r="E12" s="24">
        <v>13</v>
      </c>
      <c r="F12" s="25">
        <v>521210</v>
      </c>
      <c r="G12" s="25">
        <v>521210</v>
      </c>
      <c r="H12" s="25">
        <v>93817.8</v>
      </c>
      <c r="I12" s="25">
        <v>93817.8</v>
      </c>
      <c r="J12" s="25">
        <v>0</v>
      </c>
      <c r="K12" s="25">
        <v>0</v>
      </c>
    </row>
    <row r="13" spans="1:11" x14ac:dyDescent="0.3">
      <c r="A13" s="24" t="s">
        <v>31</v>
      </c>
      <c r="B13" s="24" t="s">
        <v>32</v>
      </c>
      <c r="C13" s="24" t="s">
        <v>24</v>
      </c>
      <c r="D13" s="24">
        <v>1</v>
      </c>
      <c r="E13" s="24">
        <v>5</v>
      </c>
      <c r="F13" s="25">
        <v>150255</v>
      </c>
      <c r="G13" s="25">
        <v>514391.3</v>
      </c>
      <c r="H13" s="25">
        <v>27045.9</v>
      </c>
      <c r="I13" s="25">
        <v>92590.44</v>
      </c>
      <c r="J13" s="25">
        <v>364136.3</v>
      </c>
      <c r="K13" s="25">
        <v>65544.539999999994</v>
      </c>
    </row>
    <row r="14" spans="1:11" x14ac:dyDescent="0.3">
      <c r="A14" s="24" t="s">
        <v>33</v>
      </c>
      <c r="B14" s="24" t="s">
        <v>34</v>
      </c>
      <c r="C14" s="24" t="s">
        <v>24</v>
      </c>
      <c r="D14" s="24">
        <v>15</v>
      </c>
      <c r="E14" s="24">
        <v>20</v>
      </c>
      <c r="F14" s="25">
        <v>927075</v>
      </c>
      <c r="G14" s="25">
        <v>1427778</v>
      </c>
      <c r="H14" s="25">
        <v>46353.760000000002</v>
      </c>
      <c r="I14" s="25">
        <v>71388.94</v>
      </c>
      <c r="J14" s="25">
        <v>500703</v>
      </c>
      <c r="K14" s="25">
        <v>25035.18</v>
      </c>
    </row>
    <row r="15" spans="1:11" x14ac:dyDescent="0.3">
      <c r="A15" s="24" t="s">
        <v>35</v>
      </c>
      <c r="B15" s="24" t="s">
        <v>36</v>
      </c>
      <c r="C15" s="24" t="s">
        <v>24</v>
      </c>
      <c r="D15" s="24">
        <v>16</v>
      </c>
      <c r="E15" s="24">
        <v>19</v>
      </c>
      <c r="F15" s="25">
        <v>2134681.71</v>
      </c>
      <c r="G15" s="25">
        <v>2731880.58</v>
      </c>
      <c r="H15" s="25">
        <v>384242.72</v>
      </c>
      <c r="I15" s="25">
        <v>491738.52</v>
      </c>
      <c r="J15" s="25">
        <v>597198.87</v>
      </c>
      <c r="K15" s="25">
        <v>107495.8</v>
      </c>
    </row>
    <row r="16" spans="1:11" x14ac:dyDescent="0.3">
      <c r="A16" s="24" t="s">
        <v>37</v>
      </c>
      <c r="B16" s="24" t="s">
        <v>38</v>
      </c>
      <c r="C16" s="24" t="s">
        <v>24</v>
      </c>
      <c r="D16" s="24">
        <v>23</v>
      </c>
      <c r="E16" s="24">
        <v>30</v>
      </c>
      <c r="F16" s="25">
        <v>1193456.9099999999</v>
      </c>
      <c r="G16" s="25">
        <v>3542106.91</v>
      </c>
      <c r="H16" s="25">
        <v>214822.26</v>
      </c>
      <c r="I16" s="25">
        <v>600520.26</v>
      </c>
      <c r="J16" s="25">
        <v>2348650</v>
      </c>
      <c r="K16" s="25">
        <v>385698</v>
      </c>
    </row>
    <row r="17" spans="1:11" x14ac:dyDescent="0.3">
      <c r="A17" s="24" t="s">
        <v>39</v>
      </c>
      <c r="B17" s="24" t="s">
        <v>40</v>
      </c>
      <c r="C17" s="24" t="s">
        <v>24</v>
      </c>
      <c r="D17" s="24">
        <v>0</v>
      </c>
      <c r="E17" s="24">
        <v>1</v>
      </c>
      <c r="F17" s="25">
        <v>0</v>
      </c>
      <c r="G17" s="25">
        <v>28125</v>
      </c>
      <c r="H17" s="25">
        <v>0</v>
      </c>
      <c r="I17" s="25">
        <v>7875</v>
      </c>
      <c r="J17" s="25">
        <v>28125</v>
      </c>
      <c r="K17" s="25">
        <v>7875</v>
      </c>
    </row>
    <row r="18" spans="1:11" x14ac:dyDescent="0.3">
      <c r="A18" s="24" t="s">
        <v>41</v>
      </c>
      <c r="B18" s="24" t="s">
        <v>42</v>
      </c>
      <c r="C18" s="24" t="s">
        <v>24</v>
      </c>
      <c r="D18" s="24">
        <v>0</v>
      </c>
      <c r="E18" s="24">
        <v>2</v>
      </c>
      <c r="F18" s="25">
        <v>0</v>
      </c>
      <c r="G18" s="25">
        <v>1128130.1200000001</v>
      </c>
      <c r="H18" s="25">
        <v>0</v>
      </c>
      <c r="I18" s="25">
        <v>203063.42</v>
      </c>
      <c r="J18" s="25">
        <v>1128130.1200000001</v>
      </c>
      <c r="K18" s="25">
        <v>203063.42</v>
      </c>
    </row>
    <row r="19" spans="1:11" x14ac:dyDescent="0.3">
      <c r="A19" s="24" t="s">
        <v>43</v>
      </c>
      <c r="B19" s="24" t="s">
        <v>44</v>
      </c>
      <c r="C19" s="24" t="s">
        <v>24</v>
      </c>
      <c r="D19" s="24">
        <v>0</v>
      </c>
      <c r="E19" s="24">
        <v>2</v>
      </c>
      <c r="F19" s="25">
        <v>0</v>
      </c>
      <c r="G19" s="25">
        <v>390045.1</v>
      </c>
      <c r="H19" s="25">
        <v>0</v>
      </c>
      <c r="I19" s="25">
        <v>70208.12</v>
      </c>
      <c r="J19" s="25">
        <v>390045.1</v>
      </c>
      <c r="K19" s="25">
        <v>70208.12</v>
      </c>
    </row>
    <row r="20" spans="1:11" x14ac:dyDescent="0.3">
      <c r="A20" s="24" t="s">
        <v>45</v>
      </c>
      <c r="B20" s="24" t="s">
        <v>46</v>
      </c>
      <c r="C20" s="24" t="s">
        <v>24</v>
      </c>
      <c r="D20" s="24">
        <v>0</v>
      </c>
      <c r="E20" s="24">
        <v>13</v>
      </c>
      <c r="F20" s="25">
        <v>0</v>
      </c>
      <c r="G20" s="25">
        <v>2402285</v>
      </c>
      <c r="H20" s="25">
        <v>0</v>
      </c>
      <c r="I20" s="25">
        <v>432411.3</v>
      </c>
      <c r="J20" s="25">
        <v>2402285</v>
      </c>
      <c r="K20" s="25">
        <v>432411.3</v>
      </c>
    </row>
    <row r="21" spans="1:11" x14ac:dyDescent="0.3">
      <c r="A21" s="24"/>
      <c r="B21" s="24"/>
      <c r="C21" s="24"/>
      <c r="D21" s="24"/>
      <c r="E21" s="24"/>
      <c r="F21" s="25">
        <f>SUM(F9:F20)</f>
        <v>10957696.67</v>
      </c>
      <c r="G21" s="25">
        <f t="shared" ref="G21:K21" si="0">SUM(G9:G20)</f>
        <v>22423345.020000003</v>
      </c>
      <c r="H21" s="25">
        <f t="shared" si="0"/>
        <v>1851865.66</v>
      </c>
      <c r="I21" s="25">
        <f t="shared" si="0"/>
        <v>3816344.54</v>
      </c>
      <c r="J21" s="25">
        <f t="shared" si="0"/>
        <v>11465648.35</v>
      </c>
      <c r="K21" s="25">
        <f t="shared" si="0"/>
        <v>1964478.8800000001</v>
      </c>
    </row>
  </sheetData>
  <mergeCells count="16">
    <mergeCell ref="K6:K7"/>
    <mergeCell ref="A1:G1"/>
    <mergeCell ref="B2:G2"/>
    <mergeCell ref="B3:G3"/>
    <mergeCell ref="B4:G4"/>
    <mergeCell ref="B5:G5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</mergeCells>
  <dataValidations count="1">
    <dataValidation allowBlank="1" showInputMessage="1" sqref="A8:K8" xr:uid="{00000000-0002-0000-0000-000000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wise 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dcterms:created xsi:type="dcterms:W3CDTF">2021-09-15T11:35:21Z</dcterms:created>
  <dcterms:modified xsi:type="dcterms:W3CDTF">2026-03-28T13:06:03Z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