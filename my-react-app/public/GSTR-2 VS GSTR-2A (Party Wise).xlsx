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3B975075-5F4B-4EA9-97BE-053FBF3936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ty wise 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I21" i="1"/>
  <c r="J21" i="1"/>
  <c r="K21" i="1"/>
</calcChain>
</file>

<file path=xl/sharedStrings.xml><?xml version="1.0" encoding="utf-8"?>
<sst xmlns="http://schemas.openxmlformats.org/spreadsheetml/2006/main" count="67" uniqueCount="56">
  <si>
    <t>GSTIN/ UID</t>
  </si>
  <si>
    <t>Party Name</t>
  </si>
  <si>
    <t>Section</t>
  </si>
  <si>
    <t>Taxable Value Difference</t>
  </si>
  <si>
    <t>Tax Value Difference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</si>
  <si>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</si>
  <si>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</si>
  <si>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</si>
  <si>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</si>
  <si>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</si>
  <si>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</si>
  <si>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</si>
  <si>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</si>
  <si>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</si>
  <si>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</si>
  <si>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</si>
  <si>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09ALXPK5904B2ZV</t>
  </si>
  <si>
    <t>D.K. IRON STORE</t>
  </si>
  <si>
    <t>B2B</t>
  </si>
  <si>
    <t>09DQHPS5297H1Z1</t>
  </si>
  <si>
    <t>INTERIOR DECOR</t>
  </si>
  <si>
    <t>09AJCPA8433C1ZN</t>
  </si>
  <si>
    <t>M/S MEERUT STEELS</t>
  </si>
  <si>
    <t>09AYMPH6180Q1ZJ</t>
  </si>
  <si>
    <t>National Enterprises</t>
  </si>
  <si>
    <t>09BHUPA6745E1Z2</t>
  </si>
  <si>
    <t>NATIONAL STEEL</t>
  </si>
  <si>
    <t>09DETPB4286R1ZF</t>
  </si>
  <si>
    <t>S.D.S COLLECTION</t>
  </si>
  <si>
    <t>09AACFS9114M1ZS</t>
  </si>
  <si>
    <t>SHYAM LAL PREM PARKASH</t>
  </si>
  <si>
    <t>09ABKPY8149D1Z1</t>
  </si>
  <si>
    <t>Ultimate Decor Particle</t>
  </si>
  <si>
    <t>09AAACK4490K1Z7</t>
  </si>
  <si>
    <t>M/S KAY DEE AUDIOVISIONS PRIVATE LIMITED</t>
  </si>
  <si>
    <t>09FXVPM5902G1ZV</t>
  </si>
  <si>
    <t>M/S UMAR BUILDING MATRIAL</t>
  </si>
  <si>
    <t>09AEUPG0820N1Z4</t>
  </si>
  <si>
    <t>SHRI RADHEY STEELS</t>
  </si>
  <si>
    <t>09CGFPA6633Q1ZY</t>
  </si>
  <si>
    <t>THE OLYMPIC SPORTS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</si>
  <si>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</si>
  <si>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</si>
  <si>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</si>
  <si>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</si>
  <si>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</si>
  <si>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</si>
  <si>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</si>
  <si>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2024-2025</t>
  </si>
  <si>
    <t>No of invoices in GSTR-2</t>
  </si>
  <si>
    <t>No of invoices in GSTR-2A</t>
  </si>
  <si>
    <t>Taxable Value-GSTR-2</t>
  </si>
  <si>
    <t>Taxable Value-GSTR-2A</t>
  </si>
  <si>
    <t>Tax Value-GSTR-2</t>
  </si>
  <si>
    <t>Tax Value-GSTR-2A</t>
  </si>
  <si>
    <t>GSTR-2 Vs GSTR-2A Report (Party 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</si>
</sst>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9"/>
      <color indexed="8"/>
      <name val="Verdana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Alignment="0" applyProtection="0"/>
    <xf numFmtId="0" fontId="4" fillId="0" borderId="0" applyNumberFormat="0" applyAlignment="0" applyProtection="0"/>
    <xf numFmtId="0" fontId="4" fillId="0" borderId="0" applyNumberFormat="0" applyFill="0" applyBorder="0" applyAlignment="0" applyProtection="0"/>
    <xf numFmtId="0" fontId="4" fillId="0" borderId="0" applyNumberFormat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Alignment="0" applyProtection="0"/>
    <xf numFmtId="0" fontId="4" fillId="0" borderId="0" applyNumberFormat="0" applyFill="0" applyAlignment="0" applyProtection="0"/>
    <xf numFmtId="0" fontId="4" fillId="0" borderId="0" applyNumberFormat="0" applyBorder="0" applyAlignment="0" applyProtection="0"/>
    <xf numFmtId="0" fontId="4" fillId="0" borderId="0" applyNumberFormat="0" applyFont="0" applyAlignment="0" applyProtection="0"/>
    <xf numFmtId="0" fontId="4" fillId="0" borderId="0" applyNumberForma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right"/>
    </xf>
    <xf numFmtId="0" fontId="5" fillId="0" borderId="5" xfId="0" applyFont="1" applyBorder="1"/>
    <xf numFmtId="0" fontId="5" fillId="0" borderId="9" xfId="0" applyFont="1" applyBorder="1"/>
    <xf numFmtId="0" fontId="5" fillId="0" borderId="11" xfId="0" applyFont="1" applyBorder="1"/>
    <xf numFmtId="0" fontId="0" fillId="0" borderId="5" xfId="0" applyBorder="1"/>
    <xf numFmtId="43" fontId="0" fillId="0" borderId="5" xfId="7" applyFont="1" applyBorder="1" applyAlignment="1">
      <alignment horizontal="right"/>
    </xf>
    <xf numFmtId="43" fontId="7" fillId="0" borderId="5" xfId="7" applyFont="1" applyBorder="1" applyAlignment="1">
      <alignment horizontal="right"/>
    </xf>
    <xf numFmtId="43" fontId="6" fillId="0" borderId="5" xfId="7" applyFont="1" applyBorder="1" applyAlignment="1">
      <alignment horizontal="right"/>
    </xf>
    <xf numFmtId="43" fontId="8" fillId="0" borderId="5" xfId="7" applyFont="1" applyBorder="1" applyAlignment="1">
      <alignment horizontal="right"/>
    </xf>
    <xf numFmtId="0" fontId="0" fillId="0" borderId="0" xfId="0" applyAlignment="1">
      <alignment wrapText="1"/>
    </xf>
    <xf numFmtId="0" fontId="3" fillId="2" borderId="5" xfId="3" quotePrefix="1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3" fillId="2" borderId="5" xfId="5" quotePrefix="1" applyFont="1" applyFill="1" applyBorder="1" applyAlignment="1">
      <alignment horizontal="center" vertical="center" wrapText="1"/>
    </xf>
    <xf numFmtId="0" fontId="3" fillId="2" borderId="5" xfId="6" quotePrefix="1" applyFont="1" applyFill="1" applyBorder="1" applyAlignment="1">
      <alignment horizontal="center" vertical="center" wrapText="1"/>
    </xf>
    <xf numFmtId="0" fontId="3" fillId="2" borderId="5" xfId="6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/>
    </xf>
    <xf numFmtId="43" fontId="1" fillId="0" borderId="8" xfId="7" applyFont="1" applyBorder="1" applyAlignment="1">
      <alignment horizontal="left"/>
    </xf>
    <xf numFmtId="43" fontId="1" fillId="0" borderId="10" xfId="7" applyFont="1" applyBorder="1" applyAlignment="1">
      <alignment horizontal="left"/>
    </xf>
    <xf numFmtId="0" fontId="1" fillId="0" borderId="6" xfId="0" applyFont="1" applyBorder="1" applyAlignment="1">
      <alignment horizontal="left"/>
    </xf>
    <xf numFmtId="43" fontId="1" fillId="0" borderId="6" xfId="7" applyFont="1" applyBorder="1" applyAlignment="1">
      <alignment horizontal="left"/>
    </xf>
    <xf numFmtId="43" fontId="1" fillId="0" borderId="7" xfId="7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43" fontId="1" fillId="0" borderId="12" xfId="7" applyFont="1" applyBorder="1" applyAlignment="1">
      <alignment horizontal="left"/>
    </xf>
    <xf numFmtId="43" fontId="1" fillId="0" borderId="13" xfId="7" applyFont="1" applyBorder="1" applyAlignment="1">
      <alignment horizontal="left"/>
    </xf>
    <xf numFmtId="0" fontId="3" fillId="2" borderId="1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3" fillId="2" borderId="2" xfId="6" applyFont="1" applyFill="1" applyBorder="1" applyAlignment="1">
      <alignment horizontal="center" vertical="center" wrapText="1"/>
    </xf>
    <xf numFmtId="0" fontId="3" fillId="2" borderId="1" xfId="5" applyFont="1" applyFill="1" applyBorder="1" applyAlignment="1">
      <alignment horizontal="center" vertical="center" wrapText="1"/>
    </xf>
    <xf numFmtId="0" fontId="3" fillId="2" borderId="2" xfId="5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43" fontId="2" fillId="8" borderId="5" xfId="7" applyFont="1" applyFill="1" applyBorder="1" applyAlignment="1">
      <alignment horizontal="center" vertical="center"/>
    </xf>
  </cellXfs>
  <cellStyles count="49">
    <cellStyle name="20% - Accent1 2" xfId="8" xr:uid="{F1A215DD-FCAB-4CB7-90CE-B0736B4EFC16}"/>
    <cellStyle name="20% - Accent2 2" xfId="9" xr:uid="{04321C3A-0DFE-4CCA-8C5E-8DBAF91AF68A}"/>
    <cellStyle name="20% - Accent3 2" xfId="10" xr:uid="{13F8CF5A-4F94-4C7F-B499-60407BA72F8C}"/>
    <cellStyle name="20% - Accent4 2" xfId="11" xr:uid="{8B571FA6-0D86-4EA2-AAF4-48FBDEAC3F27}"/>
    <cellStyle name="20% - Accent5 2" xfId="12" xr:uid="{13EBFCE7-FB54-492F-9ADC-A69C181FED51}"/>
    <cellStyle name="20% - Accent6 2" xfId="13" xr:uid="{CED5CBA8-D0C8-4D2A-A0F3-A2C59E0CF86C}"/>
    <cellStyle name="40% - Accent1 2" xfId="14" xr:uid="{D3191FA5-8DAF-49B0-B9C7-75AB3BA87C9D}"/>
    <cellStyle name="40% - Accent2 2" xfId="15" xr:uid="{30C0C812-708B-4FC0-A0EA-4CB64F9F3BDE}"/>
    <cellStyle name="40% - Accent3 2" xfId="16" xr:uid="{1AB05C15-551F-41CD-A93A-1BA2C5AADB24}"/>
    <cellStyle name="40% - Accent4 2" xfId="17" xr:uid="{2072A334-1692-4298-BB43-7F9E48AF6630}"/>
    <cellStyle name="40% - Accent5 2" xfId="18" xr:uid="{387468D6-E52D-4D2C-8688-32B6099E6D20}"/>
    <cellStyle name="40% - Accent6 2" xfId="19" xr:uid="{6E865ACC-7E6C-4F8E-B112-CF97B3A97DD8}"/>
    <cellStyle name="60% - Accent1 2" xfId="20" xr:uid="{BB8F0C9D-55CC-43DA-9E21-099E64CCFDB8}"/>
    <cellStyle name="60% - Accent2 2" xfId="21" xr:uid="{6B2BB192-7FF1-40C3-A7C1-FC6B7C691177}"/>
    <cellStyle name="60% - Accent3 2" xfId="22" xr:uid="{84BEC2E9-96A9-4CFA-8ACF-9680E5121291}"/>
    <cellStyle name="60% - Accent4 2" xfId="23" xr:uid="{4FE573E6-7110-4BD4-8EC5-7626BF7B2CF1}"/>
    <cellStyle name="60% - Accent5 2" xfId="24" xr:uid="{C78CEA8F-11D5-4AF0-9555-A0A7CF623019}"/>
    <cellStyle name="60% - Accent6 2" xfId="25" xr:uid="{F6B203B4-EDE8-4BB0-B2D6-B6DB8D1ED7D6}"/>
    <cellStyle name="Accent1 2" xfId="26" xr:uid="{60843213-CFED-4070-A6BE-D7B227412377}"/>
    <cellStyle name="Accent2 2" xfId="27" xr:uid="{AF77E31A-70A2-47DF-9A8D-90E90F803E07}"/>
    <cellStyle name="Accent3 2" xfId="28" xr:uid="{F1C48009-E7F3-491D-B440-57B22A051A97}"/>
    <cellStyle name="Accent4 2" xfId="29" xr:uid="{309142B8-6684-4166-BB03-619266972C87}"/>
    <cellStyle name="Accent5 2" xfId="30" xr:uid="{ECBCA6C6-74B6-42E4-95E4-FF0AFBDBA2D8}"/>
    <cellStyle name="Accent6 2" xfId="31" xr:uid="{30B32EFB-92F9-4462-9A52-0481DF64B641}"/>
    <cellStyle name="Bad 2" xfId="32" xr:uid="{1920EA80-AD2D-435C-B10D-420780A9C682}"/>
    <cellStyle name="Calculation 2" xfId="33" xr:uid="{59C33F2F-0D4A-45F9-9700-0FBBA38B841E}"/>
    <cellStyle name="Check Cell 2" xfId="34" xr:uid="{039FB54B-D95E-4F42-9351-1E1B2C41800D}"/>
    <cellStyle name="Comma" xfId="7" builtinId="3"/>
    <cellStyle name="Explanatory Text 2" xfId="35" xr:uid="{AEE375F8-B2E4-4AE6-9D61-1A8A3C81A966}"/>
    <cellStyle name="Good 2" xfId="36" xr:uid="{85EEC762-23A6-4E7E-ADA0-26710FD31375}"/>
    <cellStyle name="Heading 1 2" xfId="37" xr:uid="{05CF510B-B4F6-48E1-BABD-88F5FE92A56C}"/>
    <cellStyle name="Heading 2 2" xfId="38" xr:uid="{D4E67B5A-3251-4F98-A15F-F9A8111CA65D}"/>
    <cellStyle name="Heading 3 2" xfId="39" xr:uid="{E4047C9A-A018-444C-B523-18FB131BA2BF}"/>
    <cellStyle name="Heading 4 2" xfId="40" xr:uid="{9DCDFD2E-3398-4EE0-A199-34933632B71B}"/>
    <cellStyle name="Input 2" xfId="41" xr:uid="{CD652AD4-A5DB-43F2-8389-B598B1C3AB12}"/>
    <cellStyle name="Linked Cell 2" xfId="42" xr:uid="{4CCB8D3B-A769-40A4-B7BE-98EEE20A1DEF}"/>
    <cellStyle name="Neutral 2" xfId="43" xr:uid="{6F66E2B5-E009-4819-ACCB-DAD5EEE659EB}"/>
    <cellStyle name="Normal" xfId="0" builtinId="0"/>
    <cellStyle name="Normal 2" xfId="3" xr:uid="{00000000-0005-0000-0000-000001000000}"/>
    <cellStyle name="Normal 3" xfId="4" xr:uid="{00000000-0005-0000-0000-000002000000}"/>
    <cellStyle name="Normal 4" xfId="2" xr:uid="{00000000-0005-0000-0000-000003000000}"/>
    <cellStyle name="Normal 5" xfId="1" xr:uid="{00000000-0005-0000-0000-000004000000}"/>
    <cellStyle name="Normal 6" xfId="5" xr:uid="{00000000-0005-0000-0000-000005000000}"/>
    <cellStyle name="Normal 7" xfId="6" xr:uid="{00000000-0005-0000-0000-000006000000}"/>
    <cellStyle name="Note 2" xfId="44" xr:uid="{C78923ED-552D-4BA8-8F0C-45328AC983FF}"/>
    <cellStyle name="Output 2" xfId="45" xr:uid="{8B0A87BE-CC7C-4E1A-BFBB-91CD93FE93E6}"/>
    <cellStyle name="Title 2" xfId="46" xr:uid="{185BCC66-F2FE-4C55-B9A0-E8F5D8336484}"/>
    <cellStyle name="Total 2" xfId="47" xr:uid="{A44B30A2-5DDB-4E61-8242-6B32E5E0E1FD}"/>
    <cellStyle name="Warning Text 2" xfId="48" xr:uid="{446C7DD5-6879-463D-AC7C-AA3BA1690A82}"/>
  </cellStyles>
  <dxfs count="0"/>
  <tableStyles count="0" defaultTableStyle="TableStyleMedium2" defaultPivotStyle="PivotStyleLight16"/>
  <colors>
    <mruColors>
      <color rgb="FFFFCC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1"/>
  <sheetViews>
    <sheetView tabSelected="1" workbookViewId="0">
      <selection activeCell="A2" sqref="A2"/>
    </sheetView>
  </sheetViews>
  <sheetFormatPr defaultColWidth="0.109375" defaultRowHeight="14.4" x14ac:dyDescent="0.3"/>
  <cols>
    <col min="1" max="1" width="17" bestFit="1" customWidth="1"/>
    <col min="2" max="2" width="39.6640625" bestFit="1" customWidth="1"/>
    <col min="3" max="3" width="7.6640625" bestFit="1" customWidth="1"/>
    <col min="4" max="5" width="11.5546875" customWidth="1"/>
    <col min="6" max="7" width="13.77734375" style="2" customWidth="1"/>
    <col min="8" max="8" width="13.21875" style="2" customWidth="1"/>
    <col min="9" max="9" width="12.77734375" style="2" customWidth="1"/>
    <col min="10" max="11" width="14.6640625" style="2" customWidth="1"/>
    <col min="12" max="255" width="9.109375" hidden="1" customWidth="1"/>
  </cols>
  <sheetData>
    <row r="1" spans="1:11" s="1" customFormat="1" ht="15.6" x14ac:dyDescent="0.3">
      <c r="A1" s="35" t="s">
        <v>55</v>
      </c>
      <c r="B1" s="35"/>
      <c r="C1" s="35"/>
      <c r="D1" s="35"/>
      <c r="E1" s="35"/>
      <c r="F1" s="36"/>
      <c r="G1" s="36"/>
    </row>
    <row r="2" spans="1:11" s="1" customFormat="1" ht="15.6" x14ac:dyDescent="0.3">
      <c r="A2" s="4" t="s">
        <v>41</v>
      </c>
      <c r="B2" s="17" t="s">
        <v>42</v>
      </c>
      <c r="C2" s="17"/>
      <c r="D2" s="17"/>
      <c r="E2" s="17"/>
      <c r="F2" s="18"/>
      <c r="G2" s="19"/>
    </row>
    <row r="3" spans="1:11" s="1" customFormat="1" ht="15.6" x14ac:dyDescent="0.3">
      <c r="A3" s="4" t="s">
        <v>43</v>
      </c>
      <c r="B3" s="17" t="s">
        <v>44</v>
      </c>
      <c r="C3" s="17"/>
      <c r="D3" s="17"/>
      <c r="E3" s="17"/>
      <c r="F3" s="18"/>
      <c r="G3" s="19"/>
    </row>
    <row r="4" spans="1:11" s="1" customFormat="1" ht="15.6" x14ac:dyDescent="0.3">
      <c r="A4" s="3" t="s">
        <v>45</v>
      </c>
      <c r="B4" s="20" t="s">
        <v>46</v>
      </c>
      <c r="C4" s="20"/>
      <c r="D4" s="20"/>
      <c r="E4" s="20"/>
      <c r="F4" s="21"/>
      <c r="G4" s="22"/>
    </row>
    <row r="5" spans="1:11" s="1" customFormat="1" ht="15.6" x14ac:dyDescent="0.3">
      <c r="A5" s="5" t="s">
        <v>47</v>
      </c>
      <c r="B5" s="23" t="s">
        <v>48</v>
      </c>
      <c r="C5" s="23"/>
      <c r="D5" s="23"/>
      <c r="E5" s="23"/>
      <c r="F5" s="24"/>
      <c r="G5" s="25"/>
    </row>
    <row r="6" spans="1:11" s="11" customFormat="1" ht="15" customHeight="1" x14ac:dyDescent="0.3">
      <c r="A6" s="26" t="s">
        <v>0</v>
      </c>
      <c r="B6" s="26" t="s">
        <v>1</v>
      </c>
      <c r="C6" s="27" t="s">
        <v>2</v>
      </c>
      <c r="D6" s="29" t="s">
        <v>49</v>
      </c>
      <c r="E6" s="29" t="s">
        <v>50</v>
      </c>
      <c r="F6" s="33" t="s">
        <v>51</v>
      </c>
      <c r="G6" s="31" t="s">
        <v>52</v>
      </c>
      <c r="H6" s="31" t="s">
        <v>53</v>
      </c>
      <c r="I6" s="31" t="s">
        <v>54</v>
      </c>
      <c r="J6" s="31" t="s">
        <v>3</v>
      </c>
      <c r="K6" s="31" t="s">
        <v>4</v>
      </c>
    </row>
    <row r="7" spans="1:11" s="11" customFormat="1" ht="45.6" customHeight="1" x14ac:dyDescent="0.3">
      <c r="A7" s="27"/>
      <c r="B7" s="27"/>
      <c r="C7" s="28"/>
      <c r="D7" s="30"/>
      <c r="E7" s="30"/>
      <c r="F7" s="34"/>
      <c r="G7" s="32"/>
      <c r="H7" s="32"/>
      <c r="I7" s="32"/>
      <c r="J7" s="32"/>
      <c r="K7" s="32"/>
    </row>
    <row r="8" spans="1:11" x14ac:dyDescent="0.3">
      <c r="A8" s="12" t="s">
        <v>5</v>
      </c>
      <c r="B8" s="12" t="s">
        <v>6</v>
      </c>
      <c r="C8" s="13" t="s">
        <v>7</v>
      </c>
      <c r="D8" s="14" t="s">
        <v>8</v>
      </c>
      <c r="E8" s="14" t="s">
        <v>9</v>
      </c>
      <c r="F8" s="15" t="s">
        <v>10</v>
      </c>
      <c r="G8" s="16" t="s">
        <v>11</v>
      </c>
      <c r="H8" s="15" t="s">
        <v>12</v>
      </c>
      <c r="I8" s="15" t="s">
        <v>13</v>
      </c>
      <c r="J8" s="15" t="s">
        <v>14</v>
      </c>
      <c r="K8" s="15" t="s">
        <v>15</v>
      </c>
    </row>
    <row r="9" spans="1:11" x14ac:dyDescent="0.3">
      <c r="A9" s="6" t="s">
        <v>16</v>
      </c>
      <c r="B9" s="6" t="s">
        <v>17</v>
      </c>
      <c r="C9" s="6" t="s">
        <v>18</v>
      </c>
      <c r="D9" s="6">
        <v>18</v>
      </c>
      <c r="E9" s="6">
        <v>32</v>
      </c>
      <c r="F9" s="7">
        <v>4334314.05</v>
      </c>
      <c r="G9" s="7">
        <v>8040688.6100000003</v>
      </c>
      <c r="H9" s="7">
        <v>780176.5</v>
      </c>
      <c r="I9" s="7">
        <v>1447323.94</v>
      </c>
      <c r="J9" s="8">
        <v>3706374.56</v>
      </c>
      <c r="K9" s="8">
        <v>667147.43999999994</v>
      </c>
    </row>
    <row r="10" spans="1:11" x14ac:dyDescent="0.3">
      <c r="A10" s="6" t="s">
        <v>19</v>
      </c>
      <c r="B10" s="6" t="s">
        <v>20</v>
      </c>
      <c r="C10" s="6" t="s">
        <v>18</v>
      </c>
      <c r="D10" s="6">
        <v>5</v>
      </c>
      <c r="E10" s="6">
        <v>5</v>
      </c>
      <c r="F10" s="7">
        <v>1400000</v>
      </c>
      <c r="G10" s="7">
        <v>1400000</v>
      </c>
      <c r="H10" s="7">
        <v>252000</v>
      </c>
      <c r="I10" s="7">
        <v>252000</v>
      </c>
      <c r="J10" s="8">
        <v>0</v>
      </c>
      <c r="K10" s="8">
        <v>0</v>
      </c>
    </row>
    <row r="11" spans="1:11" x14ac:dyDescent="0.3">
      <c r="A11" s="6" t="s">
        <v>21</v>
      </c>
      <c r="B11" s="6" t="s">
        <v>22</v>
      </c>
      <c r="C11" s="6" t="s">
        <v>18</v>
      </c>
      <c r="D11" s="6">
        <v>1</v>
      </c>
      <c r="E11" s="6">
        <v>1</v>
      </c>
      <c r="F11" s="7">
        <v>296704</v>
      </c>
      <c r="G11" s="7">
        <v>296704.40000000002</v>
      </c>
      <c r="H11" s="7">
        <v>53406.720000000001</v>
      </c>
      <c r="I11" s="7">
        <v>53406.8</v>
      </c>
      <c r="J11" s="8">
        <v>0.4</v>
      </c>
      <c r="K11" s="8">
        <v>0.08</v>
      </c>
    </row>
    <row r="12" spans="1:11" x14ac:dyDescent="0.3">
      <c r="A12" s="6" t="s">
        <v>23</v>
      </c>
      <c r="B12" s="6" t="s">
        <v>24</v>
      </c>
      <c r="C12" s="6" t="s">
        <v>18</v>
      </c>
      <c r="D12" s="6">
        <v>13</v>
      </c>
      <c r="E12" s="6">
        <v>13</v>
      </c>
      <c r="F12" s="7">
        <v>521210</v>
      </c>
      <c r="G12" s="7">
        <v>521210</v>
      </c>
      <c r="H12" s="7">
        <v>93817.8</v>
      </c>
      <c r="I12" s="7">
        <v>93817.8</v>
      </c>
      <c r="J12" s="8">
        <v>0</v>
      </c>
      <c r="K12" s="8">
        <v>0</v>
      </c>
    </row>
    <row r="13" spans="1:11" x14ac:dyDescent="0.3">
      <c r="A13" s="6" t="s">
        <v>25</v>
      </c>
      <c r="B13" s="6" t="s">
        <v>26</v>
      </c>
      <c r="C13" s="6" t="s">
        <v>18</v>
      </c>
      <c r="D13" s="6">
        <v>1</v>
      </c>
      <c r="E13" s="6">
        <v>5</v>
      </c>
      <c r="F13" s="7">
        <v>150255</v>
      </c>
      <c r="G13" s="7">
        <v>514391.3</v>
      </c>
      <c r="H13" s="7">
        <v>27045.9</v>
      </c>
      <c r="I13" s="7">
        <v>92590.44</v>
      </c>
      <c r="J13" s="8">
        <v>364136.3</v>
      </c>
      <c r="K13" s="8">
        <v>65544.539999999994</v>
      </c>
    </row>
    <row r="14" spans="1:11" x14ac:dyDescent="0.3">
      <c r="A14" s="6" t="s">
        <v>27</v>
      </c>
      <c r="B14" s="6" t="s">
        <v>28</v>
      </c>
      <c r="C14" s="6" t="s">
        <v>18</v>
      </c>
      <c r="D14" s="6">
        <v>15</v>
      </c>
      <c r="E14" s="6">
        <v>20</v>
      </c>
      <c r="F14" s="7">
        <v>927075</v>
      </c>
      <c r="G14" s="7">
        <v>1427778</v>
      </c>
      <c r="H14" s="7">
        <v>46353.760000000002</v>
      </c>
      <c r="I14" s="7">
        <v>71388.94</v>
      </c>
      <c r="J14" s="8">
        <v>500703</v>
      </c>
      <c r="K14" s="8">
        <v>25035.18</v>
      </c>
    </row>
    <row r="15" spans="1:11" x14ac:dyDescent="0.3">
      <c r="A15" s="6" t="s">
        <v>29</v>
      </c>
      <c r="B15" s="6" t="s">
        <v>30</v>
      </c>
      <c r="C15" s="6" t="s">
        <v>18</v>
      </c>
      <c r="D15" s="6">
        <v>16</v>
      </c>
      <c r="E15" s="6">
        <v>19</v>
      </c>
      <c r="F15" s="7">
        <v>2134681.71</v>
      </c>
      <c r="G15" s="7">
        <v>2731880.58</v>
      </c>
      <c r="H15" s="7">
        <v>384242.72</v>
      </c>
      <c r="I15" s="7">
        <v>491738.52</v>
      </c>
      <c r="J15" s="8">
        <v>597198.87</v>
      </c>
      <c r="K15" s="8">
        <v>107495.8</v>
      </c>
    </row>
    <row r="16" spans="1:11" x14ac:dyDescent="0.3">
      <c r="A16" s="6" t="s">
        <v>31</v>
      </c>
      <c r="B16" s="6" t="s">
        <v>32</v>
      </c>
      <c r="C16" s="6" t="s">
        <v>18</v>
      </c>
      <c r="D16" s="6">
        <v>23</v>
      </c>
      <c r="E16" s="6">
        <v>31</v>
      </c>
      <c r="F16" s="7">
        <v>1193456.9099999999</v>
      </c>
      <c r="G16" s="7">
        <v>3743606.91</v>
      </c>
      <c r="H16" s="7">
        <v>214822.26</v>
      </c>
      <c r="I16" s="7">
        <v>636790.26</v>
      </c>
      <c r="J16" s="8">
        <v>2550150</v>
      </c>
      <c r="K16" s="8">
        <v>421968</v>
      </c>
    </row>
    <row r="17" spans="1:11" x14ac:dyDescent="0.3">
      <c r="A17" s="6" t="s">
        <v>33</v>
      </c>
      <c r="B17" s="6" t="s">
        <v>34</v>
      </c>
      <c r="C17" s="6" t="s">
        <v>18</v>
      </c>
      <c r="D17" s="6">
        <v>0</v>
      </c>
      <c r="E17" s="6">
        <v>1</v>
      </c>
      <c r="F17" s="7">
        <v>0</v>
      </c>
      <c r="G17" s="7">
        <v>28125</v>
      </c>
      <c r="H17" s="7">
        <v>0</v>
      </c>
      <c r="I17" s="7">
        <v>7875</v>
      </c>
      <c r="J17" s="8">
        <v>28125</v>
      </c>
      <c r="K17" s="8">
        <v>7875</v>
      </c>
    </row>
    <row r="18" spans="1:11" x14ac:dyDescent="0.3">
      <c r="A18" s="6" t="s">
        <v>35</v>
      </c>
      <c r="B18" s="6" t="s">
        <v>36</v>
      </c>
      <c r="C18" s="6" t="s">
        <v>18</v>
      </c>
      <c r="D18" s="6">
        <v>0</v>
      </c>
      <c r="E18" s="6">
        <v>2</v>
      </c>
      <c r="F18" s="7">
        <v>0</v>
      </c>
      <c r="G18" s="7">
        <v>1128130.1200000001</v>
      </c>
      <c r="H18" s="7">
        <v>0</v>
      </c>
      <c r="I18" s="7">
        <v>203063.42</v>
      </c>
      <c r="J18" s="8">
        <v>1128130.1200000001</v>
      </c>
      <c r="K18" s="8">
        <v>203063.42</v>
      </c>
    </row>
    <row r="19" spans="1:11" x14ac:dyDescent="0.3">
      <c r="A19" s="6" t="s">
        <v>37</v>
      </c>
      <c r="B19" s="6" t="s">
        <v>38</v>
      </c>
      <c r="C19" s="6" t="s">
        <v>18</v>
      </c>
      <c r="D19" s="6">
        <v>0</v>
      </c>
      <c r="E19" s="6">
        <v>2</v>
      </c>
      <c r="F19" s="7">
        <v>0</v>
      </c>
      <c r="G19" s="7">
        <v>390045.1</v>
      </c>
      <c r="H19" s="7">
        <v>0</v>
      </c>
      <c r="I19" s="7">
        <v>70208.12</v>
      </c>
      <c r="J19" s="8">
        <v>390045.1</v>
      </c>
      <c r="K19" s="8">
        <v>70208.12</v>
      </c>
    </row>
    <row r="20" spans="1:11" x14ac:dyDescent="0.3">
      <c r="A20" s="6" t="s">
        <v>39</v>
      </c>
      <c r="B20" s="6" t="s">
        <v>40</v>
      </c>
      <c r="C20" s="6" t="s">
        <v>18</v>
      </c>
      <c r="D20" s="6">
        <v>0</v>
      </c>
      <c r="E20" s="6">
        <v>13</v>
      </c>
      <c r="F20" s="7">
        <v>0</v>
      </c>
      <c r="G20" s="7">
        <v>2402285</v>
      </c>
      <c r="H20" s="7">
        <v>0</v>
      </c>
      <c r="I20" s="7">
        <v>432411.3</v>
      </c>
      <c r="J20" s="8">
        <v>2402285</v>
      </c>
      <c r="K20" s="8">
        <v>432411.3</v>
      </c>
    </row>
    <row r="21" spans="1:11" x14ac:dyDescent="0.3">
      <c r="A21" s="6"/>
      <c r="B21" s="6"/>
      <c r="C21" s="6"/>
      <c r="D21" s="6"/>
      <c r="E21" s="6"/>
      <c r="F21" s="9">
        <f t="shared" ref="F21:K21" si="0">SUM(F9:F20)</f>
        <v>10957696.67</v>
      </c>
      <c r="G21" s="9">
        <f t="shared" si="0"/>
        <v>22624845.020000003</v>
      </c>
      <c r="H21" s="9">
        <f t="shared" si="0"/>
        <v>1851865.66</v>
      </c>
      <c r="I21" s="9">
        <f t="shared" si="0"/>
        <v>3852614.54</v>
      </c>
      <c r="J21" s="10">
        <f t="shared" si="0"/>
        <v>11667148.35</v>
      </c>
      <c r="K21" s="10">
        <f t="shared" si="0"/>
        <v>2000748.8800000001</v>
      </c>
    </row>
  </sheetData>
  <mergeCells count="16">
    <mergeCell ref="K6:K7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1:G1"/>
    <mergeCell ref="B3:G3"/>
    <mergeCell ref="B2:G2"/>
    <mergeCell ref="B4:G4"/>
    <mergeCell ref="B5:G5"/>
  </mergeCells>
  <dataValidations count="1">
    <dataValidation allowBlank="1" showInputMessage="1" sqref="A8:K8" xr:uid="{00000000-0002-0000-0000-000000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wise 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dcterms:created xsi:type="dcterms:W3CDTF">2021-09-15T11:35:21Z</dcterms:created>
  <dcterms:modified xsi:type="dcterms:W3CDTF">2026-03-28T13:06:52Z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