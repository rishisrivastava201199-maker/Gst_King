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6D29FBC9-074B-4EF0-806E-BB5B959829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STR3BVsTDS" sheetId="1" r:id="rId1"/>
  </sheets>
  <definedNames>
    <definedName name="_xlnm._FilterDatabase" localSheetId="0" hidden="1">GSTR3BVsTDS!$6:$42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E45" i="1"/>
  <c r="F45" i="1"/>
  <c r="G45" i="1"/>
  <c r="C45" i="1"/>
  <c r="C44" i="1"/>
  <c r="D44" i="1"/>
  <c r="E44" i="1"/>
  <c r="F44" i="1"/>
  <c r="G44" i="1"/>
  <c r="D43" i="1"/>
  <c r="E43" i="1"/>
  <c r="F43" i="1"/>
  <c r="G43" i="1"/>
  <c r="C43" i="1"/>
</calcChain>
</file>

<file path=xl/sharedStrings.xml><?xml version="1.0" encoding="utf-8"?>
<sst xmlns="http://schemas.openxmlformats.org/spreadsheetml/2006/main" count="236" uniqueCount="47">
  <si>
    <t>Month-Year</t>
  </si>
  <si>
    <t>Taxable</t>
  </si>
  <si>
    <t>IGST</t>
  </si>
  <si>
    <t>CGST</t>
  </si>
  <si>
    <t>SGST</t>
  </si>
  <si>
    <t>CESS</t>
  </si>
  <si>
    <t>Category</t>
  </si>
  <si>
    <t>GSTR3B</t>
  </si>
  <si>
    <t>1363557.32</t>
  </si>
  <si>
    <t>0.00</t>
  </si>
  <si>
    <t>122720.17</t>
  </si>
  <si>
    <t>Difference</t>
  </si>
  <si>
    <t>1273132.99</t>
  </si>
  <si>
    <t>114581.99</t>
  </si>
  <si>
    <t>2588385.85</t>
  </si>
  <si>
    <t>232954.74</t>
  </si>
  <si>
    <t>1619512.34</t>
  </si>
  <si>
    <t>145756.12</t>
  </si>
  <si>
    <t>1196552.60</t>
  </si>
  <si>
    <t>107689.74</t>
  </si>
  <si>
    <t>1066272.40</t>
  </si>
  <si>
    <t>7028.10</t>
  </si>
  <si>
    <t>92450.49</t>
  </si>
  <si>
    <t>1144881.34</t>
  </si>
  <si>
    <t>9855.00</t>
  </si>
  <si>
    <t>98111.83</t>
  </si>
  <si>
    <t>849063.00</t>
  </si>
  <si>
    <t>76415.67</t>
  </si>
  <si>
    <t>3426999.60</t>
  </si>
  <si>
    <t>308429.98</t>
  </si>
  <si>
    <t>2693976.30</t>
  </si>
  <si>
    <t>242457.87</t>
  </si>
  <si>
    <t>2222257.08</t>
  </si>
  <si>
    <t>200003.17</t>
  </si>
  <si>
    <t>2446589.92</t>
  </si>
  <si>
    <t>211189.37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</si>
  <si>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</si>
  <si>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</si>
  <si>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</si>
  <si>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</si>
  <si>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</si>
  <si>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</si>
  <si>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</si>
  <si>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2024-25</t>
  </si>
  <si>
    <t>GSTR-3B vs TDS Report</t>
  </si>
  <si>
    <t>TDS/TCS</t>
  </si>
  <si>
    <t>Apr-24 to Mar-25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</si>
</sst>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Verdan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17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2" fontId="5" fillId="5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vertical="center"/>
    </xf>
    <xf numFmtId="2" fontId="7" fillId="6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A30" workbookViewId="0">
      <selection activeCell="F48" sqref="F48"/>
    </sheetView>
  </sheetViews>
  <sheetFormatPr defaultColWidth="0" defaultRowHeight="15.6" x14ac:dyDescent="0.3"/>
  <cols>
    <col min="1" max="1" width="20.33203125" style="12" bestFit="1" customWidth="1"/>
    <col min="2" max="2" width="16.77734375" style="13" bestFit="1" customWidth="1"/>
    <col min="3" max="3" width="15.33203125" style="13" bestFit="1" customWidth="1"/>
    <col min="4" max="4" width="11.77734375" style="13" bestFit="1" customWidth="1"/>
    <col min="5" max="6" width="12.109375" style="13" bestFit="1" customWidth="1"/>
    <col min="7" max="7" width="11.88671875" style="14" bestFit="1" customWidth="1"/>
    <col min="8" max="16384" width="8.88671875" style="6" hidden="1"/>
  </cols>
  <sheetData>
    <row r="1" spans="1:16" s="6" customFormat="1" ht="21" x14ac:dyDescent="0.3">
      <c r="A1" s="4" t="s">
        <v>44</v>
      </c>
      <c r="B1" s="4"/>
      <c r="C1" s="4"/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</row>
    <row r="2" spans="1:16" s="6" customFormat="1" x14ac:dyDescent="0.3">
      <c r="A2" s="1" t="s">
        <v>36</v>
      </c>
      <c r="B2" s="2" t="s">
        <v>37</v>
      </c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</row>
    <row r="3" spans="1:16" s="6" customFormat="1" x14ac:dyDescent="0.3">
      <c r="A3" s="1" t="s">
        <v>38</v>
      </c>
      <c r="B3" s="2" t="s">
        <v>39</v>
      </c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</row>
    <row r="4" spans="1:16" s="6" customFormat="1" x14ac:dyDescent="0.3">
      <c r="A4" s="1" t="s">
        <v>40</v>
      </c>
      <c r="B4" s="2" t="s">
        <v>41</v>
      </c>
      <c r="C4" s="2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</row>
    <row r="5" spans="1:16" s="6" customFormat="1" x14ac:dyDescent="0.3">
      <c r="A5" s="1" t="s">
        <v>42</v>
      </c>
      <c r="B5" s="2" t="s">
        <v>43</v>
      </c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</row>
    <row r="6" spans="1:16" s="15" customFormat="1" ht="16.2" x14ac:dyDescent="0.3">
      <c r="A6" s="15" t="s">
        <v>0</v>
      </c>
      <c r="B6" s="16" t="s">
        <v>6</v>
      </c>
      <c r="C6" s="15" t="s">
        <v>1</v>
      </c>
      <c r="D6" s="15" t="s">
        <v>2</v>
      </c>
      <c r="E6" s="15" t="s">
        <v>3</v>
      </c>
      <c r="F6" s="15" t="s">
        <v>4</v>
      </c>
      <c r="G6" s="15" t="s">
        <v>5</v>
      </c>
      <c r="H6" s="17"/>
    </row>
    <row r="7" spans="1:16" s="6" customFormat="1" x14ac:dyDescent="0.3">
      <c r="A7" s="7">
        <v>45383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10</v>
      </c>
      <c r="G7" s="9" t="s">
        <v>9</v>
      </c>
    </row>
    <row r="8" spans="1:16" s="6" customFormat="1" x14ac:dyDescent="0.3">
      <c r="A8" s="7"/>
      <c r="B8" s="8" t="s">
        <v>45</v>
      </c>
      <c r="C8" s="8" t="s">
        <v>9</v>
      </c>
      <c r="D8" s="8" t="s">
        <v>9</v>
      </c>
      <c r="E8" s="8" t="s">
        <v>9</v>
      </c>
      <c r="F8" s="8" t="s">
        <v>9</v>
      </c>
      <c r="G8" s="9" t="s">
        <v>9</v>
      </c>
    </row>
    <row r="9" spans="1:16" s="6" customFormat="1" x14ac:dyDescent="0.3">
      <c r="A9" s="7"/>
      <c r="B9" s="10" t="s">
        <v>11</v>
      </c>
      <c r="C9" s="10" t="s">
        <v>8</v>
      </c>
      <c r="D9" s="10" t="s">
        <v>9</v>
      </c>
      <c r="E9" s="10" t="s">
        <v>10</v>
      </c>
      <c r="F9" s="10" t="s">
        <v>10</v>
      </c>
      <c r="G9" s="11" t="s">
        <v>9</v>
      </c>
    </row>
    <row r="10" spans="1:16" s="6" customFormat="1" x14ac:dyDescent="0.3">
      <c r="A10" s="7">
        <v>45413</v>
      </c>
      <c r="B10" s="8" t="s">
        <v>7</v>
      </c>
      <c r="C10" s="8" t="s">
        <v>12</v>
      </c>
      <c r="D10" s="8" t="s">
        <v>9</v>
      </c>
      <c r="E10" s="8" t="s">
        <v>13</v>
      </c>
      <c r="F10" s="8" t="s">
        <v>13</v>
      </c>
      <c r="G10" s="9" t="s">
        <v>9</v>
      </c>
    </row>
    <row r="11" spans="1:16" s="6" customFormat="1" x14ac:dyDescent="0.3">
      <c r="A11" s="7"/>
      <c r="B11" s="8" t="s">
        <v>45</v>
      </c>
      <c r="C11" s="8" t="s">
        <v>9</v>
      </c>
      <c r="D11" s="8" t="s">
        <v>9</v>
      </c>
      <c r="E11" s="8" t="s">
        <v>9</v>
      </c>
      <c r="F11" s="8" t="s">
        <v>9</v>
      </c>
      <c r="G11" s="9" t="s">
        <v>9</v>
      </c>
    </row>
    <row r="12" spans="1:16" s="6" customFormat="1" x14ac:dyDescent="0.3">
      <c r="A12" s="7"/>
      <c r="B12" s="10" t="s">
        <v>11</v>
      </c>
      <c r="C12" s="10" t="s">
        <v>12</v>
      </c>
      <c r="D12" s="10" t="s">
        <v>9</v>
      </c>
      <c r="E12" s="10" t="s">
        <v>13</v>
      </c>
      <c r="F12" s="10" t="s">
        <v>13</v>
      </c>
      <c r="G12" s="11" t="s">
        <v>9</v>
      </c>
    </row>
    <row r="13" spans="1:16" s="6" customFormat="1" x14ac:dyDescent="0.3">
      <c r="A13" s="7">
        <v>45444</v>
      </c>
      <c r="B13" s="8" t="s">
        <v>7</v>
      </c>
      <c r="C13" s="8" t="s">
        <v>14</v>
      </c>
      <c r="D13" s="8" t="s">
        <v>9</v>
      </c>
      <c r="E13" s="8" t="s">
        <v>15</v>
      </c>
      <c r="F13" s="8" t="s">
        <v>15</v>
      </c>
      <c r="G13" s="9" t="s">
        <v>9</v>
      </c>
    </row>
    <row r="14" spans="1:16" s="6" customFormat="1" x14ac:dyDescent="0.3">
      <c r="A14" s="7"/>
      <c r="B14" s="8" t="s">
        <v>45</v>
      </c>
      <c r="C14" s="8" t="s">
        <v>9</v>
      </c>
      <c r="D14" s="8" t="s">
        <v>9</v>
      </c>
      <c r="E14" s="8" t="s">
        <v>9</v>
      </c>
      <c r="F14" s="8" t="s">
        <v>9</v>
      </c>
      <c r="G14" s="9" t="s">
        <v>9</v>
      </c>
    </row>
    <row r="15" spans="1:16" s="6" customFormat="1" x14ac:dyDescent="0.3">
      <c r="A15" s="7"/>
      <c r="B15" s="10" t="s">
        <v>11</v>
      </c>
      <c r="C15" s="10" t="s">
        <v>14</v>
      </c>
      <c r="D15" s="10" t="s">
        <v>9</v>
      </c>
      <c r="E15" s="10" t="s">
        <v>15</v>
      </c>
      <c r="F15" s="10" t="s">
        <v>15</v>
      </c>
      <c r="G15" s="11" t="s">
        <v>9</v>
      </c>
    </row>
    <row r="16" spans="1:16" s="6" customFormat="1" x14ac:dyDescent="0.3">
      <c r="A16" s="7">
        <v>45474</v>
      </c>
      <c r="B16" s="8" t="s">
        <v>7</v>
      </c>
      <c r="C16" s="8" t="s">
        <v>16</v>
      </c>
      <c r="D16" s="8" t="s">
        <v>9</v>
      </c>
      <c r="E16" s="8" t="s">
        <v>17</v>
      </c>
      <c r="F16" s="8" t="s">
        <v>17</v>
      </c>
      <c r="G16" s="9" t="s">
        <v>9</v>
      </c>
    </row>
    <row r="17" spans="1:7" s="6" customFormat="1" x14ac:dyDescent="0.3">
      <c r="A17" s="7"/>
      <c r="B17" s="8" t="s">
        <v>45</v>
      </c>
      <c r="C17" s="8" t="s">
        <v>9</v>
      </c>
      <c r="D17" s="8" t="s">
        <v>9</v>
      </c>
      <c r="E17" s="8" t="s">
        <v>9</v>
      </c>
      <c r="F17" s="8" t="s">
        <v>9</v>
      </c>
      <c r="G17" s="9" t="s">
        <v>9</v>
      </c>
    </row>
    <row r="18" spans="1:7" s="6" customFormat="1" x14ac:dyDescent="0.3">
      <c r="A18" s="7"/>
      <c r="B18" s="10" t="s">
        <v>11</v>
      </c>
      <c r="C18" s="10" t="s">
        <v>16</v>
      </c>
      <c r="D18" s="10" t="s">
        <v>9</v>
      </c>
      <c r="E18" s="10" t="s">
        <v>17</v>
      </c>
      <c r="F18" s="10" t="s">
        <v>17</v>
      </c>
      <c r="G18" s="11" t="s">
        <v>9</v>
      </c>
    </row>
    <row r="19" spans="1:7" s="6" customFormat="1" x14ac:dyDescent="0.3">
      <c r="A19" s="7">
        <v>45505</v>
      </c>
      <c r="B19" s="8" t="s">
        <v>7</v>
      </c>
      <c r="C19" s="8" t="s">
        <v>18</v>
      </c>
      <c r="D19" s="8" t="s">
        <v>9</v>
      </c>
      <c r="E19" s="8" t="s">
        <v>19</v>
      </c>
      <c r="F19" s="8" t="s">
        <v>19</v>
      </c>
      <c r="G19" s="9" t="s">
        <v>9</v>
      </c>
    </row>
    <row r="20" spans="1:7" s="6" customFormat="1" x14ac:dyDescent="0.3">
      <c r="A20" s="7"/>
      <c r="B20" s="8" t="s">
        <v>45</v>
      </c>
      <c r="C20" s="8" t="s">
        <v>9</v>
      </c>
      <c r="D20" s="8" t="s">
        <v>9</v>
      </c>
      <c r="E20" s="8" t="s">
        <v>9</v>
      </c>
      <c r="F20" s="8" t="s">
        <v>9</v>
      </c>
      <c r="G20" s="9" t="s">
        <v>9</v>
      </c>
    </row>
    <row r="21" spans="1:7" s="6" customFormat="1" x14ac:dyDescent="0.3">
      <c r="A21" s="7"/>
      <c r="B21" s="10" t="s">
        <v>11</v>
      </c>
      <c r="C21" s="10" t="s">
        <v>18</v>
      </c>
      <c r="D21" s="10" t="s">
        <v>9</v>
      </c>
      <c r="E21" s="10" t="s">
        <v>19</v>
      </c>
      <c r="F21" s="10" t="s">
        <v>19</v>
      </c>
      <c r="G21" s="11" t="s">
        <v>9</v>
      </c>
    </row>
    <row r="22" spans="1:7" s="6" customFormat="1" x14ac:dyDescent="0.3">
      <c r="A22" s="7">
        <v>45536</v>
      </c>
      <c r="B22" s="8" t="s">
        <v>7</v>
      </c>
      <c r="C22" s="8" t="s">
        <v>20</v>
      </c>
      <c r="D22" s="8" t="s">
        <v>21</v>
      </c>
      <c r="E22" s="8" t="s">
        <v>22</v>
      </c>
      <c r="F22" s="8" t="s">
        <v>22</v>
      </c>
      <c r="G22" s="9" t="s">
        <v>9</v>
      </c>
    </row>
    <row r="23" spans="1:7" s="6" customFormat="1" x14ac:dyDescent="0.3">
      <c r="A23" s="7"/>
      <c r="B23" s="8" t="s">
        <v>45</v>
      </c>
      <c r="C23" s="8" t="s">
        <v>9</v>
      </c>
      <c r="D23" s="8" t="s">
        <v>9</v>
      </c>
      <c r="E23" s="8" t="s">
        <v>9</v>
      </c>
      <c r="F23" s="8" t="s">
        <v>9</v>
      </c>
      <c r="G23" s="9" t="s">
        <v>9</v>
      </c>
    </row>
    <row r="24" spans="1:7" s="6" customFormat="1" x14ac:dyDescent="0.3">
      <c r="A24" s="7"/>
      <c r="B24" s="10" t="s">
        <v>11</v>
      </c>
      <c r="C24" s="10" t="s">
        <v>20</v>
      </c>
      <c r="D24" s="10" t="s">
        <v>21</v>
      </c>
      <c r="E24" s="10" t="s">
        <v>22</v>
      </c>
      <c r="F24" s="10" t="s">
        <v>22</v>
      </c>
      <c r="G24" s="11" t="s">
        <v>9</v>
      </c>
    </row>
    <row r="25" spans="1:7" s="6" customFormat="1" x14ac:dyDescent="0.3">
      <c r="A25" s="7">
        <v>45566</v>
      </c>
      <c r="B25" s="8" t="s">
        <v>7</v>
      </c>
      <c r="C25" s="8" t="s">
        <v>23</v>
      </c>
      <c r="D25" s="8" t="s">
        <v>24</v>
      </c>
      <c r="E25" s="8" t="s">
        <v>25</v>
      </c>
      <c r="F25" s="8" t="s">
        <v>25</v>
      </c>
      <c r="G25" s="9" t="s">
        <v>9</v>
      </c>
    </row>
    <row r="26" spans="1:7" s="6" customFormat="1" x14ac:dyDescent="0.3">
      <c r="A26" s="7"/>
      <c r="B26" s="8" t="s">
        <v>45</v>
      </c>
      <c r="C26" s="8" t="s">
        <v>9</v>
      </c>
      <c r="D26" s="8" t="s">
        <v>9</v>
      </c>
      <c r="E26" s="8" t="s">
        <v>9</v>
      </c>
      <c r="F26" s="8" t="s">
        <v>9</v>
      </c>
      <c r="G26" s="9" t="s">
        <v>9</v>
      </c>
    </row>
    <row r="27" spans="1:7" s="6" customFormat="1" x14ac:dyDescent="0.3">
      <c r="A27" s="7"/>
      <c r="B27" s="10" t="s">
        <v>11</v>
      </c>
      <c r="C27" s="10" t="s">
        <v>23</v>
      </c>
      <c r="D27" s="10" t="s">
        <v>24</v>
      </c>
      <c r="E27" s="10" t="s">
        <v>25</v>
      </c>
      <c r="F27" s="10" t="s">
        <v>25</v>
      </c>
      <c r="G27" s="11" t="s">
        <v>9</v>
      </c>
    </row>
    <row r="28" spans="1:7" s="6" customFormat="1" x14ac:dyDescent="0.3">
      <c r="A28" s="7">
        <v>45597</v>
      </c>
      <c r="B28" s="8" t="s">
        <v>7</v>
      </c>
      <c r="C28" s="8" t="s">
        <v>26</v>
      </c>
      <c r="D28" s="8" t="s">
        <v>9</v>
      </c>
      <c r="E28" s="8" t="s">
        <v>27</v>
      </c>
      <c r="F28" s="8" t="s">
        <v>27</v>
      </c>
      <c r="G28" s="9" t="s">
        <v>9</v>
      </c>
    </row>
    <row r="29" spans="1:7" s="6" customFormat="1" x14ac:dyDescent="0.3">
      <c r="A29" s="7"/>
      <c r="B29" s="8" t="s">
        <v>45</v>
      </c>
      <c r="C29" s="8" t="s">
        <v>9</v>
      </c>
      <c r="D29" s="8" t="s">
        <v>9</v>
      </c>
      <c r="E29" s="8" t="s">
        <v>9</v>
      </c>
      <c r="F29" s="8" t="s">
        <v>9</v>
      </c>
      <c r="G29" s="9" t="s">
        <v>9</v>
      </c>
    </row>
    <row r="30" spans="1:7" s="6" customFormat="1" x14ac:dyDescent="0.3">
      <c r="A30" s="7"/>
      <c r="B30" s="10" t="s">
        <v>11</v>
      </c>
      <c r="C30" s="10" t="s">
        <v>26</v>
      </c>
      <c r="D30" s="10" t="s">
        <v>9</v>
      </c>
      <c r="E30" s="10" t="s">
        <v>27</v>
      </c>
      <c r="F30" s="10" t="s">
        <v>27</v>
      </c>
      <c r="G30" s="11" t="s">
        <v>9</v>
      </c>
    </row>
    <row r="31" spans="1:7" s="6" customFormat="1" x14ac:dyDescent="0.3">
      <c r="A31" s="7">
        <v>45627</v>
      </c>
      <c r="B31" s="8" t="s">
        <v>7</v>
      </c>
      <c r="C31" s="8" t="s">
        <v>28</v>
      </c>
      <c r="D31" s="8" t="s">
        <v>9</v>
      </c>
      <c r="E31" s="8" t="s">
        <v>29</v>
      </c>
      <c r="F31" s="8" t="s">
        <v>29</v>
      </c>
      <c r="G31" s="9" t="s">
        <v>9</v>
      </c>
    </row>
    <row r="32" spans="1:7" s="6" customFormat="1" x14ac:dyDescent="0.3">
      <c r="A32" s="7"/>
      <c r="B32" s="8" t="s">
        <v>45</v>
      </c>
      <c r="C32" s="8" t="s">
        <v>9</v>
      </c>
      <c r="D32" s="8" t="s">
        <v>9</v>
      </c>
      <c r="E32" s="8" t="s">
        <v>9</v>
      </c>
      <c r="F32" s="8" t="s">
        <v>9</v>
      </c>
      <c r="G32" s="9" t="s">
        <v>9</v>
      </c>
    </row>
    <row r="33" spans="1:7" s="6" customFormat="1" x14ac:dyDescent="0.3">
      <c r="A33" s="7"/>
      <c r="B33" s="10" t="s">
        <v>11</v>
      </c>
      <c r="C33" s="10" t="s">
        <v>28</v>
      </c>
      <c r="D33" s="10" t="s">
        <v>9</v>
      </c>
      <c r="E33" s="10" t="s">
        <v>29</v>
      </c>
      <c r="F33" s="10" t="s">
        <v>29</v>
      </c>
      <c r="G33" s="11" t="s">
        <v>9</v>
      </c>
    </row>
    <row r="34" spans="1:7" s="6" customFormat="1" x14ac:dyDescent="0.3">
      <c r="A34" s="7">
        <v>45658</v>
      </c>
      <c r="B34" s="8" t="s">
        <v>7</v>
      </c>
      <c r="C34" s="8" t="s">
        <v>30</v>
      </c>
      <c r="D34" s="8" t="s">
        <v>9</v>
      </c>
      <c r="E34" s="8" t="s">
        <v>31</v>
      </c>
      <c r="F34" s="8" t="s">
        <v>31</v>
      </c>
      <c r="G34" s="9" t="s">
        <v>9</v>
      </c>
    </row>
    <row r="35" spans="1:7" s="6" customFormat="1" x14ac:dyDescent="0.3">
      <c r="A35" s="7"/>
      <c r="B35" s="8" t="s">
        <v>45</v>
      </c>
      <c r="C35" s="8" t="s">
        <v>9</v>
      </c>
      <c r="D35" s="8" t="s">
        <v>9</v>
      </c>
      <c r="E35" s="8" t="s">
        <v>9</v>
      </c>
      <c r="F35" s="8" t="s">
        <v>9</v>
      </c>
      <c r="G35" s="9" t="s">
        <v>9</v>
      </c>
    </row>
    <row r="36" spans="1:7" s="6" customFormat="1" x14ac:dyDescent="0.3">
      <c r="A36" s="7"/>
      <c r="B36" s="10" t="s">
        <v>11</v>
      </c>
      <c r="C36" s="10" t="s">
        <v>30</v>
      </c>
      <c r="D36" s="10" t="s">
        <v>9</v>
      </c>
      <c r="E36" s="10" t="s">
        <v>31</v>
      </c>
      <c r="F36" s="10" t="s">
        <v>31</v>
      </c>
      <c r="G36" s="11" t="s">
        <v>9</v>
      </c>
    </row>
    <row r="37" spans="1:7" s="6" customFormat="1" x14ac:dyDescent="0.3">
      <c r="A37" s="7">
        <v>45689</v>
      </c>
      <c r="B37" s="8" t="s">
        <v>7</v>
      </c>
      <c r="C37" s="8" t="s">
        <v>32</v>
      </c>
      <c r="D37" s="8" t="s">
        <v>9</v>
      </c>
      <c r="E37" s="8" t="s">
        <v>33</v>
      </c>
      <c r="F37" s="8" t="s">
        <v>33</v>
      </c>
      <c r="G37" s="9" t="s">
        <v>9</v>
      </c>
    </row>
    <row r="38" spans="1:7" s="6" customFormat="1" x14ac:dyDescent="0.3">
      <c r="A38" s="7"/>
      <c r="B38" s="8" t="s">
        <v>45</v>
      </c>
      <c r="C38" s="8" t="s">
        <v>9</v>
      </c>
      <c r="D38" s="8" t="s">
        <v>9</v>
      </c>
      <c r="E38" s="8" t="s">
        <v>9</v>
      </c>
      <c r="F38" s="8" t="s">
        <v>9</v>
      </c>
      <c r="G38" s="9" t="s">
        <v>9</v>
      </c>
    </row>
    <row r="39" spans="1:7" s="6" customFormat="1" x14ac:dyDescent="0.3">
      <c r="A39" s="7"/>
      <c r="B39" s="10" t="s">
        <v>11</v>
      </c>
      <c r="C39" s="10" t="s">
        <v>32</v>
      </c>
      <c r="D39" s="10" t="s">
        <v>9</v>
      </c>
      <c r="E39" s="10" t="s">
        <v>33</v>
      </c>
      <c r="F39" s="10" t="s">
        <v>33</v>
      </c>
      <c r="G39" s="11" t="s">
        <v>9</v>
      </c>
    </row>
    <row r="40" spans="1:7" s="6" customFormat="1" x14ac:dyDescent="0.3">
      <c r="A40" s="7">
        <v>45717</v>
      </c>
      <c r="B40" s="8" t="s">
        <v>7</v>
      </c>
      <c r="C40" s="8" t="s">
        <v>34</v>
      </c>
      <c r="D40" s="8" t="s">
        <v>9</v>
      </c>
      <c r="E40" s="8" t="s">
        <v>35</v>
      </c>
      <c r="F40" s="8" t="s">
        <v>35</v>
      </c>
      <c r="G40" s="9" t="s">
        <v>9</v>
      </c>
    </row>
    <row r="41" spans="1:7" s="6" customFormat="1" x14ac:dyDescent="0.3">
      <c r="A41" s="7"/>
      <c r="B41" s="8" t="s">
        <v>45</v>
      </c>
      <c r="C41" s="8" t="s">
        <v>9</v>
      </c>
      <c r="D41" s="8" t="s">
        <v>9</v>
      </c>
      <c r="E41" s="8" t="s">
        <v>9</v>
      </c>
      <c r="F41" s="8" t="s">
        <v>9</v>
      </c>
      <c r="G41" s="9" t="s">
        <v>9</v>
      </c>
    </row>
    <row r="42" spans="1:7" s="6" customFormat="1" x14ac:dyDescent="0.3">
      <c r="A42" s="7"/>
      <c r="B42" s="10" t="s">
        <v>11</v>
      </c>
      <c r="C42" s="10" t="s">
        <v>34</v>
      </c>
      <c r="D42" s="10" t="s">
        <v>9</v>
      </c>
      <c r="E42" s="10" t="s">
        <v>35</v>
      </c>
      <c r="F42" s="10" t="s">
        <v>35</v>
      </c>
      <c r="G42" s="11" t="s">
        <v>9</v>
      </c>
    </row>
    <row r="43" spans="1:7" s="6" customFormat="1" x14ac:dyDescent="0.3">
      <c r="A43" s="7" t="s">
        <v>46</v>
      </c>
      <c r="B43" s="8" t="s">
        <v>7</v>
      </c>
      <c r="C43" s="8">
        <f>C7+C10+C13+C16+C19+C22+C25+C28+C31+C34+C37+C40</f>
        <v>21891180.740000002</v>
      </c>
      <c r="D43" s="8">
        <f t="shared" ref="D43:G44" si="0">D7+D10+D13+D16+D19+D22+D25+D28+D31+D34+D37+D40</f>
        <v>16883.099999999999</v>
      </c>
      <c r="E43" s="8">
        <f t="shared" si="0"/>
        <v>1952761.1400000001</v>
      </c>
      <c r="F43" s="8">
        <f t="shared" si="0"/>
        <v>1952761.1400000001</v>
      </c>
      <c r="G43" s="8">
        <f t="shared" si="0"/>
        <v>0</v>
      </c>
    </row>
    <row r="44" spans="1:7" s="6" customFormat="1" x14ac:dyDescent="0.3">
      <c r="A44" s="7"/>
      <c r="B44" s="8" t="s">
        <v>45</v>
      </c>
      <c r="C44" s="8">
        <f>C8+C11+C14+C17+C20+C23+C26+C29+C32+C35+C38+C41</f>
        <v>0</v>
      </c>
      <c r="D44" s="8">
        <f t="shared" si="0"/>
        <v>0</v>
      </c>
      <c r="E44" s="8">
        <f t="shared" si="0"/>
        <v>0</v>
      </c>
      <c r="F44" s="8">
        <f t="shared" si="0"/>
        <v>0</v>
      </c>
      <c r="G44" s="8">
        <f t="shared" si="0"/>
        <v>0</v>
      </c>
    </row>
    <row r="45" spans="1:7" s="18" customFormat="1" x14ac:dyDescent="0.3">
      <c r="A45" s="7"/>
      <c r="B45" s="19" t="s">
        <v>11</v>
      </c>
      <c r="C45" s="19">
        <f>C43-C44</f>
        <v>21891180.740000002</v>
      </c>
      <c r="D45" s="19">
        <f t="shared" ref="D45:G45" si="1">D43-D44</f>
        <v>16883.099999999999</v>
      </c>
      <c r="E45" s="19">
        <f t="shared" si="1"/>
        <v>1952761.1400000001</v>
      </c>
      <c r="F45" s="19">
        <f t="shared" si="1"/>
        <v>1952761.1400000001</v>
      </c>
      <c r="G45" s="19">
        <f t="shared" si="1"/>
        <v>0</v>
      </c>
    </row>
    <row r="46" spans="1:7" s="6" customFormat="1" x14ac:dyDescent="0.3">
      <c r="A46" s="12"/>
      <c r="B46" s="13"/>
      <c r="C46" s="13"/>
      <c r="D46" s="13"/>
      <c r="E46" s="13"/>
      <c r="F46" s="13"/>
      <c r="G46" s="14"/>
    </row>
    <row r="47" spans="1:7" s="6" customFormat="1" x14ac:dyDescent="0.3">
      <c r="A47" s="12"/>
      <c r="B47" s="13"/>
      <c r="C47" s="13"/>
      <c r="D47" s="13"/>
      <c r="E47" s="13"/>
      <c r="F47" s="13"/>
      <c r="G47" s="14"/>
    </row>
    <row r="48" spans="1:7" s="6" customFormat="1" x14ac:dyDescent="0.3">
      <c r="A48" s="12"/>
      <c r="B48" s="13"/>
      <c r="C48" s="13"/>
      <c r="D48" s="13"/>
      <c r="E48" s="13"/>
      <c r="F48" s="13"/>
      <c r="G48" s="14"/>
    </row>
    <row r="49" spans="1:7" s="6" customFormat="1" x14ac:dyDescent="0.3">
      <c r="A49" s="12"/>
      <c r="B49" s="13"/>
      <c r="C49" s="13"/>
      <c r="D49" s="13"/>
      <c r="E49" s="13"/>
      <c r="F49" s="13"/>
      <c r="G49" s="14"/>
    </row>
    <row r="50" spans="1:7" s="6" customFormat="1" x14ac:dyDescent="0.3">
      <c r="A50" s="12"/>
      <c r="B50" s="13"/>
      <c r="C50" s="13"/>
      <c r="D50" s="13"/>
      <c r="E50" s="13"/>
      <c r="F50" s="13"/>
      <c r="G50" s="14"/>
    </row>
    <row r="51" spans="1:7" s="6" customFormat="1" x14ac:dyDescent="0.3">
      <c r="A51" s="12"/>
      <c r="B51" s="13"/>
      <c r="C51" s="13"/>
      <c r="D51" s="13"/>
      <c r="E51" s="13"/>
      <c r="F51" s="13"/>
      <c r="G51" s="14"/>
    </row>
    <row r="52" spans="1:7" s="6" customFormat="1" x14ac:dyDescent="0.3">
      <c r="A52" s="12"/>
      <c r="B52" s="13"/>
      <c r="C52" s="13"/>
      <c r="D52" s="13"/>
      <c r="E52" s="13"/>
      <c r="F52" s="13"/>
      <c r="G52" s="14"/>
    </row>
    <row r="53" spans="1:7" s="6" customFormat="1" x14ac:dyDescent="0.3">
      <c r="A53" s="12"/>
      <c r="B53" s="13"/>
      <c r="C53" s="13"/>
      <c r="D53" s="13"/>
      <c r="E53" s="13"/>
      <c r="F53" s="13"/>
      <c r="G53" s="14"/>
    </row>
    <row r="54" spans="1:7" s="6" customFormat="1" x14ac:dyDescent="0.3">
      <c r="A54" s="12"/>
      <c r="B54" s="13"/>
      <c r="C54" s="13"/>
      <c r="D54" s="13"/>
      <c r="E54" s="13"/>
      <c r="F54" s="13"/>
      <c r="G54" s="14"/>
    </row>
    <row r="55" spans="1:7" s="6" customFormat="1" x14ac:dyDescent="0.3">
      <c r="A55" s="12"/>
      <c r="B55" s="13"/>
      <c r="C55" s="13"/>
      <c r="D55" s="13"/>
      <c r="E55" s="13"/>
      <c r="F55" s="13"/>
      <c r="G55" s="14"/>
    </row>
  </sheetData>
  <autoFilter ref="A6:P42" xr:uid="{00000000-0001-0000-0000-000000000000}"/>
  <mergeCells count="18">
    <mergeCell ref="A43:A45"/>
    <mergeCell ref="B5:G5"/>
    <mergeCell ref="B4:G4"/>
    <mergeCell ref="B3:G3"/>
    <mergeCell ref="B2:G2"/>
    <mergeCell ref="A28:A30"/>
    <mergeCell ref="A31:A33"/>
    <mergeCell ref="A34:A36"/>
    <mergeCell ref="A37:A39"/>
    <mergeCell ref="A40:A42"/>
    <mergeCell ref="A13:A15"/>
    <mergeCell ref="A16:A18"/>
    <mergeCell ref="A19:A21"/>
    <mergeCell ref="A22:A24"/>
    <mergeCell ref="A25:A27"/>
    <mergeCell ref="A7:A9"/>
    <mergeCell ref="A10:A12"/>
    <mergeCell ref="A1:P1"/>
  </mergeCells>
  <phoneticPr fontId="1" type="noConversion"/>
  <dataValidations count="1">
    <dataValidation type="textLength" allowBlank="1" showInputMessage="1" showErrorMessage="1" error="Can't edit header" sqref="A6:XFD6" xr:uid="{00000000-0002-0000-0000-000000000000}">
      <formula1>0</formula1>
      <formula2>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GSTR3BVsTDS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</dc:creator>
  <cp:lastModifiedBy>RAJ</cp:lastModifiedBy>
  <dcterms:created xsi:type="dcterms:W3CDTF">2024-12-06T05:25:53Z</dcterms:created>
  <dcterms:modified xsi:type="dcterms:W3CDTF">2026-03-28T14:11:46Z</dcterms:modified>
</cp:coreProperties>
</file>