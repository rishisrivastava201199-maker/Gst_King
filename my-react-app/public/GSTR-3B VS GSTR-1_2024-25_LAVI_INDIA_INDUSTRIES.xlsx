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A743FF69-77F9-432E-9F87-3656AEA36E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3B VS GSTR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6" i="3" l="1"/>
  <c r="N166" i="3"/>
  <c r="M166" i="3"/>
  <c r="L166" i="3"/>
  <c r="K166" i="3"/>
  <c r="J166" i="3"/>
  <c r="I166" i="3"/>
  <c r="H166" i="3"/>
  <c r="G166" i="3"/>
  <c r="F166" i="3"/>
  <c r="E166" i="3"/>
  <c r="D166" i="3"/>
  <c r="P165" i="3"/>
  <c r="P164" i="3"/>
  <c r="P166" i="3" s="1"/>
  <c r="O161" i="3"/>
  <c r="N161" i="3"/>
  <c r="M161" i="3"/>
  <c r="L161" i="3"/>
  <c r="K161" i="3"/>
  <c r="J161" i="3"/>
  <c r="I161" i="3"/>
  <c r="H161" i="3"/>
  <c r="G161" i="3"/>
  <c r="F161" i="3"/>
  <c r="E161" i="3"/>
  <c r="D161" i="3"/>
  <c r="P160" i="3"/>
  <c r="P161" i="3" s="1"/>
  <c r="P159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P156" i="3"/>
  <c r="P155" i="3"/>
  <c r="P157" i="3" s="1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P152" i="3"/>
  <c r="P151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P148" i="3"/>
  <c r="P147" i="3"/>
  <c r="P149" i="3" s="1"/>
  <c r="P146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P144" i="3"/>
  <c r="P143" i="3"/>
  <c r="P141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P139" i="3"/>
  <c r="P138" i="3"/>
  <c r="P140" i="3" s="1"/>
  <c r="O135" i="3"/>
  <c r="N135" i="3"/>
  <c r="M135" i="3"/>
  <c r="L135" i="3"/>
  <c r="K135" i="3"/>
  <c r="J135" i="3"/>
  <c r="I135" i="3"/>
  <c r="H135" i="3"/>
  <c r="G135" i="3"/>
  <c r="F135" i="3"/>
  <c r="E135" i="3"/>
  <c r="D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O77" i="3"/>
  <c r="N77" i="3"/>
  <c r="M77" i="3"/>
  <c r="L77" i="3"/>
  <c r="K77" i="3"/>
  <c r="J77" i="3"/>
  <c r="I77" i="3"/>
  <c r="H77" i="3"/>
  <c r="G77" i="3"/>
  <c r="F77" i="3"/>
  <c r="E77" i="3"/>
  <c r="D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77" i="3" s="1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60" i="3"/>
  <c r="P59" i="3"/>
  <c r="P58" i="3"/>
  <c r="P57" i="3"/>
  <c r="P56" i="3"/>
  <c r="P55" i="3"/>
  <c r="P54" i="3"/>
  <c r="P53" i="3"/>
  <c r="P52" i="3"/>
  <c r="P51" i="3"/>
  <c r="P62" i="3" s="1"/>
  <c r="O49" i="3"/>
  <c r="N49" i="3"/>
  <c r="M49" i="3"/>
  <c r="L49" i="3"/>
  <c r="K49" i="3"/>
  <c r="J49" i="3"/>
  <c r="I49" i="3"/>
  <c r="H49" i="3"/>
  <c r="G49" i="3"/>
  <c r="F49" i="3"/>
  <c r="E49" i="3"/>
  <c r="D49" i="3"/>
  <c r="P48" i="3"/>
  <c r="P47" i="3"/>
  <c r="P46" i="3"/>
  <c r="P45" i="3"/>
  <c r="P44" i="3"/>
  <c r="P43" i="3"/>
  <c r="P42" i="3"/>
  <c r="P41" i="3"/>
  <c r="P40" i="3"/>
  <c r="P39" i="3"/>
  <c r="P38" i="3"/>
  <c r="O36" i="3"/>
  <c r="N36" i="3"/>
  <c r="M36" i="3"/>
  <c r="L36" i="3"/>
  <c r="K36" i="3"/>
  <c r="J36" i="3"/>
  <c r="I36" i="3"/>
  <c r="H36" i="3"/>
  <c r="G36" i="3"/>
  <c r="F36" i="3"/>
  <c r="E36" i="3"/>
  <c r="D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21" i="3" l="1"/>
  <c r="P36" i="3"/>
  <c r="P49" i="3"/>
  <c r="P120" i="3"/>
  <c r="P135" i="3"/>
</calcChain>
</file>

<file path=xl/sharedStrings.xml><?xml version="1.0" encoding="utf-8"?>
<sst xmlns="http://schemas.openxmlformats.org/spreadsheetml/2006/main" count="309" uniqueCount="80">
  <si>
    <t>Section</t>
  </si>
  <si>
    <t>Type</t>
  </si>
  <si>
    <t>Total</t>
  </si>
  <si>
    <t>Outward taxable supplies (other than zero rated)</t>
  </si>
  <si>
    <t>R3B: 3.1.A Outward taxable supplies (excluding zero rated)</t>
  </si>
  <si>
    <t>Taxable Value</t>
  </si>
  <si>
    <t>R1: B2B Invoices</t>
  </si>
  <si>
    <t>R1: B2CL Invoices</t>
  </si>
  <si>
    <t>R1: B2B Credit Notes</t>
  </si>
  <si>
    <t>R1: B2CL Credit Notes</t>
  </si>
  <si>
    <t>R1: B2B Credit Notes Amendments</t>
  </si>
  <si>
    <t>R1: B2CS</t>
  </si>
  <si>
    <t>Difference</t>
  </si>
  <si>
    <t>Outward taxable supplies (zero-rated)</t>
  </si>
  <si>
    <t>R3B: 3.1.B Outward taxable supplies (zero rated)</t>
  </si>
  <si>
    <t>R1: SEZ-WOP Invoices</t>
  </si>
  <si>
    <t>R1: EXP-WOP Invoices</t>
  </si>
  <si>
    <t>R1: SEZ-WP Invoices</t>
  </si>
  <si>
    <t>R1: EXP-WOP Credit Notes</t>
  </si>
  <si>
    <t>R1: SEZ-WOP Credit Notes</t>
  </si>
  <si>
    <t>Other outward supplies (nil-rated, exempted)</t>
  </si>
  <si>
    <t>Non-GST outward supplies</t>
  </si>
  <si>
    <t>CESS</t>
  </si>
  <si>
    <t>R3B: 3.1.C Other outward supplies (nil-rated, exempted)</t>
  </si>
  <si>
    <t>R1 : Nil Rated and Exempted</t>
  </si>
  <si>
    <t>IGST</t>
  </si>
  <si>
    <t>CGST</t>
  </si>
  <si>
    <t>SGST</t>
  </si>
  <si>
    <t>Inward supplies (liable to reverse charges)</t>
  </si>
  <si>
    <t>R3B: 3.1.D Inward supplies (liable to reverse charges)</t>
  </si>
  <si>
    <t>R2 : Reverse charge</t>
  </si>
  <si>
    <t>R1 : Non GST Amount</t>
  </si>
  <si>
    <t>GSTR3B VS GSTR1 Report</t>
  </si>
  <si>
    <t>Assessee Name</t>
  </si>
  <si>
    <t>GSTIN</t>
  </si>
  <si>
    <t>Financial Year</t>
  </si>
  <si>
    <t xml:space="preserve">R3B: 3.1.E Non-GST outward supplies 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</si>
  <si>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</si>
  <si>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</si>
  <si>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</si>
  <si>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</si>
  <si>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</si>
  <si>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</si>
  <si>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</si>
  <si>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</si>
  <si>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</si>
  <si>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</si>
  <si>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</si>
  <si>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</si>
  <si>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R1:B2B Debit Notes</t>
  </si>
  <si>
    <t>R1: B2B Dedit Notes</t>
  </si>
  <si>
    <t>R1: B2B Dedit Amendments</t>
  </si>
  <si>
    <t>R1: B2B Debit Notes</t>
  </si>
  <si>
    <t>R1:EXP-WP Debit Notes</t>
  </si>
  <si>
    <t>R1:EXP-WOP Debit Notes</t>
  </si>
  <si>
    <t>R1: B2B Amendments</t>
  </si>
  <si>
    <t>R1: B2CL Amendments</t>
  </si>
  <si>
    <t>R1: B2CL Credit Notes Amendments</t>
  </si>
  <si>
    <t>R1: B2CS Amendments</t>
  </si>
  <si>
    <t>R1: SEZ-WOP Invoices Amendments</t>
  </si>
  <si>
    <t>R1: EXP-WOP Invoices Amendments</t>
  </si>
  <si>
    <t>R1: SEZ-WP Invoices Amendments</t>
  </si>
  <si>
    <t>R1:EXP-WP Debit Notes Amendments</t>
  </si>
  <si>
    <t>R1:EXP-WOP Debit Notes Amendments</t>
  </si>
  <si>
    <t>R1: EXP-WOP Credit Notes Amentments</t>
  </si>
  <si>
    <t>R1: SEZ-WOP Credit Notes Amendments</t>
  </si>
  <si>
    <t>R1: B2B Dedit Notes Amendments</t>
  </si>
  <si>
    <t>R1: EXP-WP Invoices</t>
  </si>
  <si>
    <t>R1: EXP-WP Invoices Amendments</t>
  </si>
  <si>
    <t>R1: EXP-WP Credit Notes</t>
  </si>
  <si>
    <t>R1: EXP-WP Credit Notes Amentments</t>
  </si>
  <si>
    <t>R1: SEZ-WP Credit Notes</t>
  </si>
  <si>
    <t>R1: SEZ-WP Credit Notes Amendments</t>
  </si>
  <si>
    <t>R1: SEZ-WP Debit Notes</t>
  </si>
  <si>
    <t>R1: SEZ-WP Debit Notes Amendments</t>
  </si>
  <si>
    <t>R1: SEZ-WOP Debit Notes</t>
  </si>
  <si>
    <t>R1: SEZ-WOP Debit Notes Amendments</t>
  </si>
  <si>
    <t>LAVI INDIA INDUSTRIES</t>
  </si>
  <si>
    <t>09CMIPR8447Q2ZS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</si>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</sst>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  <fill>
      <patternFill patternType="solid">
        <fgColor rgb="FFD7D7D7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3" borderId="0"/>
    <xf numFmtId="0" fontId="4" fillId="4" borderId="0"/>
    <xf numFmtId="164" fontId="4" fillId="4" borderId="0"/>
  </cellStyleXfs>
  <cellXfs count="34">
    <xf numFmtId="0" fontId="0" fillId="0" borderId="0" xfId="0"/>
    <xf numFmtId="0" fontId="2" fillId="3" borderId="0" xfId="2"/>
    <xf numFmtId="0" fontId="3" fillId="0" borderId="0" xfId="0" applyFont="1"/>
    <xf numFmtId="0" fontId="4" fillId="4" borderId="0" xfId="3"/>
    <xf numFmtId="0" fontId="4" fillId="0" borderId="0" xfId="3" applyFill="1"/>
    <xf numFmtId="0" fontId="3" fillId="0" borderId="0" xfId="0" applyFont="1" applyAlignment="1">
      <alignment horizontal="center" vertical="center"/>
    </xf>
    <xf numFmtId="0" fontId="4" fillId="3" borderId="0" xfId="2" applyFont="1"/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4" borderId="0" xfId="3" applyAlignment="1">
      <alignment wrapText="1"/>
    </xf>
    <xf numFmtId="0" fontId="0" fillId="0" borderId="0" xfId="0" applyAlignment="1">
      <alignment wrapText="1"/>
    </xf>
    <xf numFmtId="0" fontId="4" fillId="0" borderId="0" xfId="3" applyFill="1" applyAlignment="1">
      <alignment wrapText="1"/>
    </xf>
    <xf numFmtId="0" fontId="3" fillId="3" borderId="0" xfId="2" applyFont="1"/>
    <xf numFmtId="17" fontId="8" fillId="2" borderId="0" xfId="1" applyNumberFormat="1" applyFont="1" applyFill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0" xfId="1" applyNumberFormat="1" applyFont="1" applyFill="1" applyBorder="1" applyAlignment="1">
      <alignment horizontal="center" vertical="center"/>
    </xf>
    <xf numFmtId="0" fontId="2" fillId="3" borderId="0" xfId="2" applyAlignment="1">
      <alignment horizontal="center" vertical="center" wrapText="1"/>
    </xf>
    <xf numFmtId="0" fontId="2" fillId="3" borderId="0" xfId="2" applyAlignment="1">
      <alignment horizontal="left" vertical="center" wrapText="1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2" fontId="3" fillId="0" borderId="0" xfId="1" applyNumberFormat="1" applyFont="1" applyFill="1" applyBorder="1"/>
    <xf numFmtId="2" fontId="3" fillId="4" borderId="0" xfId="4" applyNumberFormat="1" applyFont="1"/>
    <xf numFmtId="2" fontId="3" fillId="0" borderId="0" xfId="0" applyNumberFormat="1" applyFont="1"/>
    <xf numFmtId="2" fontId="3" fillId="0" borderId="0" xfId="4" applyNumberFormat="1" applyFont="1" applyFill="1"/>
    <xf numFmtId="2" fontId="3" fillId="3" borderId="0" xfId="2" applyNumberFormat="1" applyFont="1"/>
    <xf numFmtId="0" fontId="0" fillId="0" borderId="5" xfId="0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</cellXfs>
  <cellStyles count="5">
    <cellStyle name="Comma" xfId="1" builtinId="3"/>
    <cellStyle name="Diff Heading" xfId="3" xr:uid="{00000000-0005-0000-0000-000001000000}"/>
    <cellStyle name="Diff Value" xfId="4" xr:uid="{00000000-0005-0000-0000-000002000000}"/>
    <cellStyle name="Group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"/>
  <sheetViews>
    <sheetView tabSelected="1" topLeftCell="A173" workbookViewId="0">
      <selection activeCell="Q14" sqref="Q1:XFD1048576"/>
    </sheetView>
  </sheetViews>
  <sheetFormatPr defaultColWidth="0" defaultRowHeight="14.4" x14ac:dyDescent="0.3"/>
  <cols>
    <col min="1" max="1" width="4" style="5" customWidth="1"/>
    <col min="2" max="2" width="26.33203125" style="12" bestFit="1" customWidth="1"/>
    <col min="3" max="3" width="10.44140625" bestFit="1" customWidth="1"/>
    <col min="4" max="10" width="8.21875" style="2" bestFit="1" customWidth="1"/>
    <col min="11" max="11" width="7.44140625" style="2" bestFit="1" customWidth="1"/>
    <col min="12" max="15" width="8.21875" style="2" bestFit="1" customWidth="1"/>
    <col min="16" max="16" width="9" style="2" bestFit="1" customWidth="1"/>
    <col min="17" max="16384" width="8.6640625" hidden="1"/>
  </cols>
  <sheetData>
    <row r="1" spans="1:16" ht="15.6" x14ac:dyDescent="0.3">
      <c r="A1" s="20" t="s">
        <v>32</v>
      </c>
      <c r="B1" s="23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</row>
    <row r="2" spans="1:16" x14ac:dyDescent="0.3">
      <c r="A2" s="7">
        <v>1</v>
      </c>
      <c r="B2" s="30" t="s">
        <v>33</v>
      </c>
      <c r="C2" s="31"/>
      <c r="D2" s="32" t="s">
        <v>77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</row>
    <row r="3" spans="1:16" x14ac:dyDescent="0.3">
      <c r="A3" s="7">
        <v>2</v>
      </c>
      <c r="B3" s="30" t="s">
        <v>34</v>
      </c>
      <c r="C3" s="31"/>
      <c r="D3" s="32" t="s">
        <v>78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3">
      <c r="A4" s="7">
        <v>3</v>
      </c>
      <c r="B4" s="30" t="s">
        <v>35</v>
      </c>
      <c r="C4" s="31"/>
      <c r="D4" s="32" t="s">
        <v>79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</row>
    <row r="5" spans="1:16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x14ac:dyDescent="0.3">
      <c r="A6" s="8"/>
      <c r="B6" s="9" t="s">
        <v>0</v>
      </c>
      <c r="C6" s="8" t="s">
        <v>1</v>
      </c>
      <c r="D6" s="15" t="s">
        <v>37</v>
      </c>
      <c r="E6" s="16" t="s">
        <v>38</v>
      </c>
      <c r="F6" s="16" t="s">
        <v>39</v>
      </c>
      <c r="G6" s="16" t="s">
        <v>40</v>
      </c>
      <c r="H6" s="16" t="s">
        <v>41</v>
      </c>
      <c r="I6" s="17" t="s">
        <v>42</v>
      </c>
      <c r="J6" s="17" t="s">
        <v>43</v>
      </c>
      <c r="K6" s="17" t="s">
        <v>44</v>
      </c>
      <c r="L6" s="17" t="s">
        <v>45</v>
      </c>
      <c r="M6" s="17" t="s">
        <v>46</v>
      </c>
      <c r="N6" s="17" t="s">
        <v>47</v>
      </c>
      <c r="O6" s="17" t="s">
        <v>48</v>
      </c>
      <c r="P6" s="17" t="s">
        <v>2</v>
      </c>
    </row>
    <row r="7" spans="1:16" ht="27.6" x14ac:dyDescent="0.3">
      <c r="A7" s="6">
        <v>1</v>
      </c>
      <c r="B7" s="18" t="s">
        <v>3</v>
      </c>
      <c r="C7" s="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ht="24.6" x14ac:dyDescent="0.3">
      <c r="B8" s="10" t="s">
        <v>4</v>
      </c>
      <c r="C8" s="2" t="s">
        <v>5</v>
      </c>
      <c r="D8" s="24">
        <v>1363557.32</v>
      </c>
      <c r="E8" s="24">
        <v>1273132.99</v>
      </c>
      <c r="F8" s="24">
        <v>2588385.85</v>
      </c>
      <c r="G8" s="24">
        <v>1619512.34</v>
      </c>
      <c r="H8" s="24">
        <v>1196552.6000000001</v>
      </c>
      <c r="I8" s="24">
        <v>1066272.3999999999</v>
      </c>
      <c r="J8" s="24">
        <v>1144881.3400000001</v>
      </c>
      <c r="K8" s="24">
        <v>849063</v>
      </c>
      <c r="L8" s="24">
        <v>3426999.6</v>
      </c>
      <c r="M8" s="24">
        <v>2693976.3</v>
      </c>
      <c r="N8" s="24">
        <v>2222257.08</v>
      </c>
      <c r="O8" s="24">
        <v>2446589.92</v>
      </c>
      <c r="P8" s="24">
        <f>SUM(D8:O8)</f>
        <v>21891180.740000002</v>
      </c>
    </row>
    <row r="9" spans="1:16" x14ac:dyDescent="0.3">
      <c r="B9" s="10" t="s">
        <v>6</v>
      </c>
      <c r="C9" s="2" t="s">
        <v>5</v>
      </c>
      <c r="D9" s="24">
        <v>1360457.72</v>
      </c>
      <c r="E9" s="24">
        <v>1267851.28</v>
      </c>
      <c r="F9" s="24">
        <v>2588385.85</v>
      </c>
      <c r="G9" s="24">
        <v>1484501.34</v>
      </c>
      <c r="H9" s="24">
        <v>1196552.6000000001</v>
      </c>
      <c r="I9" s="24">
        <v>1062195</v>
      </c>
      <c r="J9" s="24">
        <v>1144881.3400000001</v>
      </c>
      <c r="K9" s="24">
        <v>844075</v>
      </c>
      <c r="L9" s="24">
        <v>3426999.6</v>
      </c>
      <c r="M9" s="24">
        <v>2689677.92</v>
      </c>
      <c r="N9" s="24">
        <v>2212536.2799999998</v>
      </c>
      <c r="O9" s="24">
        <v>2306475.92</v>
      </c>
      <c r="P9" s="24">
        <f t="shared" ref="P9:P148" si="0">SUM(D9:O9)</f>
        <v>21584589.850000001</v>
      </c>
    </row>
    <row r="10" spans="1:16" x14ac:dyDescent="0.3">
      <c r="B10" s="10" t="s">
        <v>55</v>
      </c>
      <c r="C10" s="2" t="s">
        <v>5</v>
      </c>
      <c r="D10" s="24">
        <v>0</v>
      </c>
      <c r="E10" s="24">
        <v>0</v>
      </c>
      <c r="F10" s="24">
        <v>0</v>
      </c>
      <c r="G10" s="24">
        <v>135011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f t="shared" si="0"/>
        <v>135011</v>
      </c>
    </row>
    <row r="11" spans="1:16" x14ac:dyDescent="0.3">
      <c r="B11" s="10" t="s">
        <v>7</v>
      </c>
      <c r="C11" s="2" t="s">
        <v>5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f t="shared" si="0"/>
        <v>0</v>
      </c>
    </row>
    <row r="12" spans="1:16" x14ac:dyDescent="0.3">
      <c r="B12" s="10" t="s">
        <v>56</v>
      </c>
      <c r="C12" s="2" t="s">
        <v>5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f t="shared" si="0"/>
        <v>0</v>
      </c>
    </row>
    <row r="13" spans="1:16" x14ac:dyDescent="0.3">
      <c r="B13" s="10" t="s">
        <v>49</v>
      </c>
      <c r="C13" s="2" t="s">
        <v>5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f t="shared" si="0"/>
        <v>0</v>
      </c>
    </row>
    <row r="14" spans="1:16" x14ac:dyDescent="0.3">
      <c r="B14" s="10" t="s">
        <v>66</v>
      </c>
      <c r="C14" s="2" t="s">
        <v>5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f t="shared" si="0"/>
        <v>0</v>
      </c>
    </row>
    <row r="15" spans="1:16" x14ac:dyDescent="0.3">
      <c r="B15" s="10" t="s">
        <v>8</v>
      </c>
      <c r="C15" s="2" t="s">
        <v>5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160011</v>
      </c>
      <c r="P15" s="24">
        <f t="shared" si="0"/>
        <v>160011</v>
      </c>
    </row>
    <row r="16" spans="1:16" x14ac:dyDescent="0.3">
      <c r="B16" s="10" t="s">
        <v>10</v>
      </c>
      <c r="C16" s="2" t="s">
        <v>5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f t="shared" si="0"/>
        <v>0</v>
      </c>
    </row>
    <row r="17" spans="2:16" x14ac:dyDescent="0.3">
      <c r="B17" s="10" t="s">
        <v>9</v>
      </c>
      <c r="C17" s="2" t="s">
        <v>5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f t="shared" si="0"/>
        <v>0</v>
      </c>
    </row>
    <row r="18" spans="2:16" x14ac:dyDescent="0.3">
      <c r="B18" s="10" t="s">
        <v>57</v>
      </c>
      <c r="C18" s="2" t="s">
        <v>5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f t="shared" si="0"/>
        <v>0</v>
      </c>
    </row>
    <row r="19" spans="2:16" x14ac:dyDescent="0.3">
      <c r="B19" s="10" t="s">
        <v>11</v>
      </c>
      <c r="C19" s="2" t="s">
        <v>5</v>
      </c>
      <c r="D19" s="24">
        <v>3099.6</v>
      </c>
      <c r="E19" s="24">
        <v>5281.71</v>
      </c>
      <c r="F19" s="24">
        <v>0</v>
      </c>
      <c r="G19" s="24">
        <v>0</v>
      </c>
      <c r="H19" s="24">
        <v>0</v>
      </c>
      <c r="I19" s="24">
        <v>4077.4</v>
      </c>
      <c r="J19" s="24">
        <v>0</v>
      </c>
      <c r="K19" s="24">
        <v>4988</v>
      </c>
      <c r="L19" s="24">
        <v>0</v>
      </c>
      <c r="M19" s="24">
        <v>4298.38</v>
      </c>
      <c r="N19" s="24">
        <v>9720.7999999999993</v>
      </c>
      <c r="O19" s="24">
        <v>0</v>
      </c>
      <c r="P19" s="24">
        <f t="shared" si="0"/>
        <v>31465.89</v>
      </c>
    </row>
    <row r="20" spans="2:16" x14ac:dyDescent="0.3">
      <c r="B20" s="10" t="s">
        <v>58</v>
      </c>
      <c r="C20" s="2" t="s">
        <v>5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f t="shared" si="0"/>
        <v>0</v>
      </c>
    </row>
    <row r="21" spans="2:16" x14ac:dyDescent="0.3">
      <c r="B21" s="11" t="s">
        <v>12</v>
      </c>
      <c r="C21" s="3" t="s">
        <v>5</v>
      </c>
      <c r="D21" s="25">
        <f t="shared" ref="D21:P21" si="1">D8-(D9+D10+D11+D12+D13+D14-D15-D16-D17-D18+D19+D20)</f>
        <v>0</v>
      </c>
      <c r="E21" s="25">
        <f t="shared" si="1"/>
        <v>0</v>
      </c>
      <c r="F21" s="25">
        <f t="shared" si="1"/>
        <v>0</v>
      </c>
      <c r="G21" s="25">
        <f t="shared" si="1"/>
        <v>0</v>
      </c>
      <c r="H21" s="25">
        <f t="shared" si="1"/>
        <v>0</v>
      </c>
      <c r="I21" s="25">
        <f t="shared" si="1"/>
        <v>0</v>
      </c>
      <c r="J21" s="25">
        <f t="shared" si="1"/>
        <v>0</v>
      </c>
      <c r="K21" s="25">
        <f t="shared" si="1"/>
        <v>0</v>
      </c>
      <c r="L21" s="25">
        <f t="shared" si="1"/>
        <v>0</v>
      </c>
      <c r="M21" s="25">
        <f t="shared" si="1"/>
        <v>0</v>
      </c>
      <c r="N21" s="25">
        <f t="shared" si="1"/>
        <v>0</v>
      </c>
      <c r="O21" s="25">
        <f t="shared" si="1"/>
        <v>300125</v>
      </c>
      <c r="P21" s="25">
        <f t="shared" si="1"/>
        <v>300125</v>
      </c>
    </row>
    <row r="22" spans="2:16" x14ac:dyDescent="0.3"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4"/>
    </row>
    <row r="23" spans="2:16" ht="24.6" x14ac:dyDescent="0.3">
      <c r="B23" s="10" t="s">
        <v>4</v>
      </c>
      <c r="C23" s="2" t="s">
        <v>25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7028.1</v>
      </c>
      <c r="J23" s="24">
        <v>9855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f t="shared" si="0"/>
        <v>16883.099999999999</v>
      </c>
    </row>
    <row r="24" spans="2:16" x14ac:dyDescent="0.3">
      <c r="B24" s="10" t="s">
        <v>6</v>
      </c>
      <c r="C24" s="2" t="s">
        <v>25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7028.1</v>
      </c>
      <c r="J24" s="24">
        <v>9855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f t="shared" si="0"/>
        <v>16883.099999999999</v>
      </c>
    </row>
    <row r="25" spans="2:16" x14ac:dyDescent="0.3">
      <c r="B25" s="10" t="s">
        <v>55</v>
      </c>
      <c r="C25" s="2" t="s">
        <v>25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f t="shared" si="0"/>
        <v>0</v>
      </c>
    </row>
    <row r="26" spans="2:16" x14ac:dyDescent="0.3">
      <c r="B26" s="10" t="s">
        <v>7</v>
      </c>
      <c r="C26" s="2" t="s">
        <v>25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f t="shared" si="0"/>
        <v>0</v>
      </c>
    </row>
    <row r="27" spans="2:16" x14ac:dyDescent="0.3">
      <c r="B27" s="10" t="s">
        <v>56</v>
      </c>
      <c r="C27" s="2" t="s">
        <v>25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f t="shared" si="0"/>
        <v>0</v>
      </c>
    </row>
    <row r="28" spans="2:16" x14ac:dyDescent="0.3">
      <c r="B28" s="10" t="s">
        <v>50</v>
      </c>
      <c r="C28" s="2" t="s">
        <v>25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f t="shared" si="0"/>
        <v>0</v>
      </c>
    </row>
    <row r="29" spans="2:16" x14ac:dyDescent="0.3">
      <c r="B29" s="10" t="s">
        <v>51</v>
      </c>
      <c r="C29" s="2" t="s">
        <v>25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f t="shared" si="0"/>
        <v>0</v>
      </c>
    </row>
    <row r="30" spans="2:16" x14ac:dyDescent="0.3">
      <c r="B30" s="10" t="s">
        <v>8</v>
      </c>
      <c r="C30" s="2" t="s">
        <v>25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f t="shared" si="0"/>
        <v>0</v>
      </c>
    </row>
    <row r="31" spans="2:16" x14ac:dyDescent="0.3">
      <c r="B31" s="10" t="s">
        <v>10</v>
      </c>
      <c r="C31" s="2" t="s">
        <v>25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f t="shared" si="0"/>
        <v>0</v>
      </c>
    </row>
    <row r="32" spans="2:16" x14ac:dyDescent="0.3">
      <c r="B32" s="10" t="s">
        <v>9</v>
      </c>
      <c r="C32" s="2" t="s">
        <v>25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f t="shared" si="0"/>
        <v>0</v>
      </c>
    </row>
    <row r="33" spans="2:16" x14ac:dyDescent="0.3">
      <c r="B33" s="10" t="s">
        <v>57</v>
      </c>
      <c r="C33" s="2" t="s">
        <v>25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f t="shared" si="0"/>
        <v>0</v>
      </c>
    </row>
    <row r="34" spans="2:16" x14ac:dyDescent="0.3">
      <c r="B34" s="10" t="s">
        <v>11</v>
      </c>
      <c r="C34" s="2" t="s">
        <v>25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f t="shared" si="0"/>
        <v>0</v>
      </c>
    </row>
    <row r="35" spans="2:16" x14ac:dyDescent="0.3">
      <c r="B35" s="10" t="s">
        <v>58</v>
      </c>
      <c r="C35" s="2" t="s">
        <v>25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f t="shared" si="0"/>
        <v>0</v>
      </c>
    </row>
    <row r="36" spans="2:16" x14ac:dyDescent="0.3">
      <c r="B36" s="11" t="s">
        <v>12</v>
      </c>
      <c r="C36" s="3" t="s">
        <v>25</v>
      </c>
      <c r="D36" s="25">
        <f t="shared" ref="D36:P36" si="2">D23-(D24+D25+D26+D27+D28+D29-D30-D31-D32-D33+D34+D35)</f>
        <v>0</v>
      </c>
      <c r="E36" s="25">
        <f t="shared" si="2"/>
        <v>0</v>
      </c>
      <c r="F36" s="25">
        <f t="shared" si="2"/>
        <v>0</v>
      </c>
      <c r="G36" s="25">
        <f t="shared" si="2"/>
        <v>0</v>
      </c>
      <c r="H36" s="25">
        <f t="shared" si="2"/>
        <v>0</v>
      </c>
      <c r="I36" s="25">
        <f t="shared" si="2"/>
        <v>0</v>
      </c>
      <c r="J36" s="25">
        <f t="shared" si="2"/>
        <v>0</v>
      </c>
      <c r="K36" s="25">
        <f t="shared" si="2"/>
        <v>0</v>
      </c>
      <c r="L36" s="25">
        <f t="shared" si="2"/>
        <v>0</v>
      </c>
      <c r="M36" s="25">
        <f t="shared" si="2"/>
        <v>0</v>
      </c>
      <c r="N36" s="25">
        <f t="shared" si="2"/>
        <v>0</v>
      </c>
      <c r="O36" s="25">
        <f t="shared" si="2"/>
        <v>0</v>
      </c>
      <c r="P36" s="25">
        <f t="shared" si="2"/>
        <v>0</v>
      </c>
    </row>
    <row r="37" spans="2:16" x14ac:dyDescent="0.3"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4"/>
    </row>
    <row r="38" spans="2:16" ht="24.6" x14ac:dyDescent="0.3">
      <c r="B38" s="10" t="s">
        <v>4</v>
      </c>
      <c r="C38" s="2" t="s">
        <v>26</v>
      </c>
      <c r="D38" s="24">
        <v>122720.17</v>
      </c>
      <c r="E38" s="24">
        <v>114581.99</v>
      </c>
      <c r="F38" s="24">
        <v>232954.74</v>
      </c>
      <c r="G38" s="24">
        <v>145756.12</v>
      </c>
      <c r="H38" s="24">
        <v>107689.74</v>
      </c>
      <c r="I38" s="24">
        <v>92450.49</v>
      </c>
      <c r="J38" s="24">
        <v>98111.83</v>
      </c>
      <c r="K38" s="24">
        <v>76415.67</v>
      </c>
      <c r="L38" s="24">
        <v>308429.98</v>
      </c>
      <c r="M38" s="24">
        <v>242457.87</v>
      </c>
      <c r="N38" s="24">
        <v>200003.17</v>
      </c>
      <c r="O38" s="24">
        <v>211189.37</v>
      </c>
      <c r="P38" s="24">
        <f t="shared" si="0"/>
        <v>1952761.1400000001</v>
      </c>
    </row>
    <row r="39" spans="2:16" x14ac:dyDescent="0.3">
      <c r="B39" s="10" t="s">
        <v>6</v>
      </c>
      <c r="C39" s="2" t="s">
        <v>26</v>
      </c>
      <c r="D39" s="24">
        <v>122441.21</v>
      </c>
      <c r="E39" s="24">
        <v>114106.63</v>
      </c>
      <c r="F39" s="24">
        <v>232954.74</v>
      </c>
      <c r="G39" s="24">
        <v>133605.13</v>
      </c>
      <c r="H39" s="24">
        <v>107689.74</v>
      </c>
      <c r="I39" s="24">
        <v>92083.51</v>
      </c>
      <c r="J39" s="24">
        <v>98111.83</v>
      </c>
      <c r="K39" s="24">
        <v>75966.75</v>
      </c>
      <c r="L39" s="24">
        <v>308429.98</v>
      </c>
      <c r="M39" s="24">
        <v>242071.02</v>
      </c>
      <c r="N39" s="24">
        <v>199128.29</v>
      </c>
      <c r="O39" s="24">
        <v>207582.86</v>
      </c>
      <c r="P39" s="24">
        <f t="shared" si="0"/>
        <v>1934171.69</v>
      </c>
    </row>
    <row r="40" spans="2:16" x14ac:dyDescent="0.3">
      <c r="B40" s="10" t="s">
        <v>55</v>
      </c>
      <c r="C40" s="2" t="s">
        <v>26</v>
      </c>
      <c r="D40" s="24">
        <v>0</v>
      </c>
      <c r="E40" s="24">
        <v>0</v>
      </c>
      <c r="F40" s="24">
        <v>0</v>
      </c>
      <c r="G40" s="24">
        <v>12150.99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f t="shared" si="0"/>
        <v>12150.99</v>
      </c>
    </row>
    <row r="41" spans="2:16" x14ac:dyDescent="0.3">
      <c r="B41" s="10" t="s">
        <v>52</v>
      </c>
      <c r="C41" s="2" t="s">
        <v>26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f>SUM(D41:O41)</f>
        <v>0</v>
      </c>
    </row>
    <row r="42" spans="2:16" x14ac:dyDescent="0.3">
      <c r="B42" s="10" t="s">
        <v>51</v>
      </c>
      <c r="C42" s="2" t="s">
        <v>26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f t="shared" si="0"/>
        <v>0</v>
      </c>
    </row>
    <row r="43" spans="2:16" x14ac:dyDescent="0.3">
      <c r="B43" s="10" t="s">
        <v>8</v>
      </c>
      <c r="C43" s="2" t="s">
        <v>26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14400.99</v>
      </c>
      <c r="P43" s="24">
        <f t="shared" si="0"/>
        <v>14400.99</v>
      </c>
    </row>
    <row r="44" spans="2:16" x14ac:dyDescent="0.3">
      <c r="B44" s="10" t="s">
        <v>10</v>
      </c>
      <c r="C44" s="2" t="s">
        <v>26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f t="shared" si="0"/>
        <v>0</v>
      </c>
    </row>
    <row r="45" spans="2:16" x14ac:dyDescent="0.3">
      <c r="B45" s="10" t="s">
        <v>9</v>
      </c>
      <c r="C45" s="2" t="s">
        <v>26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f t="shared" si="0"/>
        <v>0</v>
      </c>
    </row>
    <row r="46" spans="2:16" x14ac:dyDescent="0.3">
      <c r="B46" s="10" t="s">
        <v>57</v>
      </c>
      <c r="C46" s="2" t="s">
        <v>26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f t="shared" si="0"/>
        <v>0</v>
      </c>
    </row>
    <row r="47" spans="2:16" x14ac:dyDescent="0.3">
      <c r="B47" s="10" t="s">
        <v>11</v>
      </c>
      <c r="C47" s="2" t="s">
        <v>26</v>
      </c>
      <c r="D47" s="24">
        <v>278.95999999999998</v>
      </c>
      <c r="E47" s="24">
        <v>475.36</v>
      </c>
      <c r="F47" s="24">
        <v>0</v>
      </c>
      <c r="G47" s="24">
        <v>0</v>
      </c>
      <c r="H47" s="24">
        <v>0</v>
      </c>
      <c r="I47" s="24">
        <v>366.98</v>
      </c>
      <c r="J47" s="24">
        <v>0</v>
      </c>
      <c r="K47" s="24">
        <v>448.92</v>
      </c>
      <c r="L47" s="24">
        <v>0</v>
      </c>
      <c r="M47" s="24">
        <v>386.85</v>
      </c>
      <c r="N47" s="24">
        <v>874.88</v>
      </c>
      <c r="O47" s="24">
        <v>0</v>
      </c>
      <c r="P47" s="24">
        <f t="shared" si="0"/>
        <v>2831.9500000000003</v>
      </c>
    </row>
    <row r="48" spans="2:16" x14ac:dyDescent="0.3">
      <c r="B48" s="10" t="s">
        <v>58</v>
      </c>
      <c r="C48" s="2" t="s">
        <v>26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f t="shared" si="0"/>
        <v>0</v>
      </c>
    </row>
    <row r="49" spans="2:16" x14ac:dyDescent="0.3">
      <c r="B49" s="11" t="s">
        <v>12</v>
      </c>
      <c r="C49" s="3" t="s">
        <v>26</v>
      </c>
      <c r="D49" s="25">
        <f t="shared" ref="D49:P49" si="3">D38-(D39+D40+D41+D42-D43-D44-D45-D46+D47+D48)</f>
        <v>0</v>
      </c>
      <c r="E49" s="25">
        <f t="shared" si="3"/>
        <v>0</v>
      </c>
      <c r="F49" s="25">
        <f t="shared" si="3"/>
        <v>0</v>
      </c>
      <c r="G49" s="25">
        <f t="shared" si="3"/>
        <v>0</v>
      </c>
      <c r="H49" s="25">
        <f t="shared" si="3"/>
        <v>0</v>
      </c>
      <c r="I49" s="25">
        <f t="shared" si="3"/>
        <v>0</v>
      </c>
      <c r="J49" s="25">
        <f t="shared" si="3"/>
        <v>0</v>
      </c>
      <c r="K49" s="25">
        <f t="shared" si="3"/>
        <v>0</v>
      </c>
      <c r="L49" s="25">
        <f t="shared" si="3"/>
        <v>0</v>
      </c>
      <c r="M49" s="25">
        <f t="shared" si="3"/>
        <v>0</v>
      </c>
      <c r="N49" s="25">
        <f t="shared" si="3"/>
        <v>0</v>
      </c>
      <c r="O49" s="25">
        <f t="shared" si="3"/>
        <v>18007.5</v>
      </c>
      <c r="P49" s="25">
        <f t="shared" si="3"/>
        <v>18007.500000000233</v>
      </c>
    </row>
    <row r="50" spans="2:16" x14ac:dyDescent="0.3"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4"/>
    </row>
    <row r="51" spans="2:16" ht="24.6" x14ac:dyDescent="0.3">
      <c r="B51" s="10" t="s">
        <v>4</v>
      </c>
      <c r="C51" s="2" t="s">
        <v>27</v>
      </c>
      <c r="D51" s="24">
        <v>122720.17</v>
      </c>
      <c r="E51" s="24">
        <v>114581.99</v>
      </c>
      <c r="F51" s="24">
        <v>232954.74</v>
      </c>
      <c r="G51" s="24">
        <v>145756.12</v>
      </c>
      <c r="H51" s="24">
        <v>107689.74</v>
      </c>
      <c r="I51" s="24">
        <v>92450.49</v>
      </c>
      <c r="J51" s="24">
        <v>98111.83</v>
      </c>
      <c r="K51" s="24">
        <v>76415.67</v>
      </c>
      <c r="L51" s="24">
        <v>308429.98</v>
      </c>
      <c r="M51" s="24">
        <v>242457.87</v>
      </c>
      <c r="N51" s="24">
        <v>200003.17</v>
      </c>
      <c r="O51" s="24">
        <v>211189.37</v>
      </c>
      <c r="P51" s="24">
        <f t="shared" si="0"/>
        <v>1952761.1400000001</v>
      </c>
    </row>
    <row r="52" spans="2:16" x14ac:dyDescent="0.3">
      <c r="B52" s="10" t="s">
        <v>6</v>
      </c>
      <c r="C52" s="2" t="s">
        <v>27</v>
      </c>
      <c r="D52" s="24">
        <v>122441.21</v>
      </c>
      <c r="E52" s="24">
        <v>114106.63</v>
      </c>
      <c r="F52" s="24">
        <v>232954.74</v>
      </c>
      <c r="G52" s="24">
        <v>133605.13</v>
      </c>
      <c r="H52" s="24">
        <v>107689.74</v>
      </c>
      <c r="I52" s="24">
        <v>92083.51</v>
      </c>
      <c r="J52" s="24">
        <v>98111.83</v>
      </c>
      <c r="K52" s="24">
        <v>75966.75</v>
      </c>
      <c r="L52" s="24">
        <v>308429.98</v>
      </c>
      <c r="M52" s="24">
        <v>242071.02</v>
      </c>
      <c r="N52" s="24">
        <v>199128.29</v>
      </c>
      <c r="O52" s="24">
        <v>207582.86</v>
      </c>
      <c r="P52" s="24">
        <f t="shared" si="0"/>
        <v>1934171.69</v>
      </c>
    </row>
    <row r="53" spans="2:16" x14ac:dyDescent="0.3">
      <c r="B53" s="10" t="s">
        <v>55</v>
      </c>
      <c r="C53" s="2" t="s">
        <v>27</v>
      </c>
      <c r="D53" s="24">
        <v>0</v>
      </c>
      <c r="E53" s="24">
        <v>0</v>
      </c>
      <c r="F53" s="24">
        <v>0</v>
      </c>
      <c r="G53" s="24">
        <v>12150.99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f>SUM(D53:O53)</f>
        <v>12150.99</v>
      </c>
    </row>
    <row r="54" spans="2:16" x14ac:dyDescent="0.3">
      <c r="B54" s="10" t="s">
        <v>52</v>
      </c>
      <c r="C54" s="2" t="s">
        <v>27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f t="shared" si="0"/>
        <v>0</v>
      </c>
    </row>
    <row r="55" spans="2:16" x14ac:dyDescent="0.3">
      <c r="B55" s="10" t="s">
        <v>51</v>
      </c>
      <c r="C55" s="2" t="s">
        <v>27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f t="shared" si="0"/>
        <v>0</v>
      </c>
    </row>
    <row r="56" spans="2:16" x14ac:dyDescent="0.3">
      <c r="B56" s="10" t="s">
        <v>8</v>
      </c>
      <c r="C56" s="2" t="s">
        <v>27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14400.99</v>
      </c>
      <c r="P56" s="24">
        <f t="shared" si="0"/>
        <v>14400.99</v>
      </c>
    </row>
    <row r="57" spans="2:16" x14ac:dyDescent="0.3">
      <c r="B57" s="10" t="s">
        <v>10</v>
      </c>
      <c r="C57" s="2" t="s">
        <v>27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f t="shared" si="0"/>
        <v>0</v>
      </c>
    </row>
    <row r="58" spans="2:16" x14ac:dyDescent="0.3">
      <c r="B58" s="10" t="s">
        <v>9</v>
      </c>
      <c r="C58" s="2" t="s">
        <v>27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f t="shared" si="0"/>
        <v>0</v>
      </c>
    </row>
    <row r="59" spans="2:16" x14ac:dyDescent="0.3">
      <c r="B59" s="10" t="s">
        <v>57</v>
      </c>
      <c r="C59" s="2" t="s">
        <v>27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f t="shared" si="0"/>
        <v>0</v>
      </c>
    </row>
    <row r="60" spans="2:16" x14ac:dyDescent="0.3">
      <c r="B60" s="10" t="s">
        <v>11</v>
      </c>
      <c r="C60" s="2" t="s">
        <v>27</v>
      </c>
      <c r="D60" s="24">
        <v>278.95999999999998</v>
      </c>
      <c r="E60" s="24">
        <v>475.36</v>
      </c>
      <c r="F60" s="24">
        <v>0</v>
      </c>
      <c r="G60" s="24">
        <v>0</v>
      </c>
      <c r="H60" s="24">
        <v>0</v>
      </c>
      <c r="I60" s="24">
        <v>366.98</v>
      </c>
      <c r="J60" s="24">
        <v>0</v>
      </c>
      <c r="K60" s="24">
        <v>448.92</v>
      </c>
      <c r="L60" s="24">
        <v>0</v>
      </c>
      <c r="M60" s="24">
        <v>386.85</v>
      </c>
      <c r="N60" s="24">
        <v>874.88</v>
      </c>
      <c r="O60" s="24">
        <v>0</v>
      </c>
      <c r="P60" s="24">
        <f t="shared" si="0"/>
        <v>2831.9500000000003</v>
      </c>
    </row>
    <row r="61" spans="2:16" x14ac:dyDescent="0.3">
      <c r="B61" s="10" t="s">
        <v>58</v>
      </c>
      <c r="C61" s="2" t="s">
        <v>27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f t="shared" si="0"/>
        <v>0</v>
      </c>
    </row>
    <row r="62" spans="2:16" x14ac:dyDescent="0.3">
      <c r="B62" s="11" t="s">
        <v>12</v>
      </c>
      <c r="C62" s="3" t="s">
        <v>27</v>
      </c>
      <c r="D62" s="25">
        <f t="shared" ref="D62:P62" si="4">D51-(D52+D53+D54+D55-D56-D57-D58-D59+D60+D61)</f>
        <v>0</v>
      </c>
      <c r="E62" s="25">
        <f t="shared" si="4"/>
        <v>0</v>
      </c>
      <c r="F62" s="25">
        <f t="shared" si="4"/>
        <v>0</v>
      </c>
      <c r="G62" s="25">
        <f t="shared" si="4"/>
        <v>0</v>
      </c>
      <c r="H62" s="25">
        <f t="shared" si="4"/>
        <v>0</v>
      </c>
      <c r="I62" s="25">
        <f t="shared" si="4"/>
        <v>0</v>
      </c>
      <c r="J62" s="25">
        <f t="shared" si="4"/>
        <v>0</v>
      </c>
      <c r="K62" s="25">
        <f t="shared" si="4"/>
        <v>0</v>
      </c>
      <c r="L62" s="25">
        <f t="shared" si="4"/>
        <v>0</v>
      </c>
      <c r="M62" s="25">
        <f t="shared" si="4"/>
        <v>0</v>
      </c>
      <c r="N62" s="25">
        <f t="shared" si="4"/>
        <v>0</v>
      </c>
      <c r="O62" s="25">
        <f t="shared" si="4"/>
        <v>18007.5</v>
      </c>
      <c r="P62" s="25">
        <f t="shared" si="4"/>
        <v>18007.500000000233</v>
      </c>
    </row>
    <row r="63" spans="2:16" x14ac:dyDescent="0.3">
      <c r="B63" s="13"/>
      <c r="C63" s="4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4"/>
    </row>
    <row r="64" spans="2:16" ht="24.6" x14ac:dyDescent="0.3">
      <c r="B64" s="10" t="s">
        <v>4</v>
      </c>
      <c r="C64" s="2" t="s">
        <v>22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f t="shared" si="0"/>
        <v>0</v>
      </c>
    </row>
    <row r="65" spans="1:16" x14ac:dyDescent="0.3">
      <c r="B65" s="10" t="s">
        <v>6</v>
      </c>
      <c r="C65" s="2" t="s">
        <v>22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f t="shared" si="0"/>
        <v>0</v>
      </c>
    </row>
    <row r="66" spans="1:16" x14ac:dyDescent="0.3">
      <c r="B66" s="10" t="s">
        <v>55</v>
      </c>
      <c r="C66" s="2" t="s">
        <v>22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f>SUM(D66:O66)</f>
        <v>0</v>
      </c>
    </row>
    <row r="67" spans="1:16" x14ac:dyDescent="0.3">
      <c r="B67" s="10" t="s">
        <v>7</v>
      </c>
      <c r="C67" s="2" t="s">
        <v>22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f t="shared" si="0"/>
        <v>0</v>
      </c>
    </row>
    <row r="68" spans="1:16" x14ac:dyDescent="0.3">
      <c r="B68" s="10" t="s">
        <v>56</v>
      </c>
      <c r="C68" s="2" t="s">
        <v>22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f t="shared" si="0"/>
        <v>0</v>
      </c>
    </row>
    <row r="69" spans="1:16" x14ac:dyDescent="0.3">
      <c r="B69" s="10" t="s">
        <v>50</v>
      </c>
      <c r="C69" s="2" t="s">
        <v>22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f t="shared" si="0"/>
        <v>0</v>
      </c>
    </row>
    <row r="70" spans="1:16" x14ac:dyDescent="0.3">
      <c r="B70" s="10" t="s">
        <v>51</v>
      </c>
      <c r="C70" s="2" t="s">
        <v>22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f t="shared" si="0"/>
        <v>0</v>
      </c>
    </row>
    <row r="71" spans="1:16" x14ac:dyDescent="0.3">
      <c r="B71" s="10" t="s">
        <v>8</v>
      </c>
      <c r="C71" s="2" t="s">
        <v>22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f t="shared" si="0"/>
        <v>0</v>
      </c>
    </row>
    <row r="72" spans="1:16" x14ac:dyDescent="0.3">
      <c r="B72" s="10" t="s">
        <v>10</v>
      </c>
      <c r="C72" s="2" t="s">
        <v>22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f t="shared" si="0"/>
        <v>0</v>
      </c>
    </row>
    <row r="73" spans="1:16" x14ac:dyDescent="0.3">
      <c r="B73" s="10" t="s">
        <v>9</v>
      </c>
      <c r="C73" s="2" t="s">
        <v>22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f t="shared" si="0"/>
        <v>0</v>
      </c>
    </row>
    <row r="74" spans="1:16" x14ac:dyDescent="0.3">
      <c r="B74" s="10" t="s">
        <v>57</v>
      </c>
      <c r="C74" s="2" t="s">
        <v>22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f t="shared" si="0"/>
        <v>0</v>
      </c>
    </row>
    <row r="75" spans="1:16" x14ac:dyDescent="0.3">
      <c r="B75" s="10" t="s">
        <v>11</v>
      </c>
      <c r="C75" s="2" t="s">
        <v>22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>
        <f t="shared" si="0"/>
        <v>0</v>
      </c>
    </row>
    <row r="76" spans="1:16" x14ac:dyDescent="0.3">
      <c r="B76" s="10" t="s">
        <v>58</v>
      </c>
      <c r="C76" s="2" t="s">
        <v>22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>
        <f t="shared" si="0"/>
        <v>0</v>
      </c>
    </row>
    <row r="77" spans="1:16" x14ac:dyDescent="0.3">
      <c r="B77" s="11" t="s">
        <v>12</v>
      </c>
      <c r="C77" s="3" t="s">
        <v>22</v>
      </c>
      <c r="D77" s="25">
        <f t="shared" ref="D77:P77" si="5">D64-(D65+D66+D67+D68+D69+D70-D71-D72-D73-D74+D75+D76)</f>
        <v>0</v>
      </c>
      <c r="E77" s="25">
        <f t="shared" si="5"/>
        <v>0</v>
      </c>
      <c r="F77" s="25">
        <f t="shared" si="5"/>
        <v>0</v>
      </c>
      <c r="G77" s="25">
        <f t="shared" si="5"/>
        <v>0</v>
      </c>
      <c r="H77" s="25">
        <f t="shared" si="5"/>
        <v>0</v>
      </c>
      <c r="I77" s="25">
        <f t="shared" si="5"/>
        <v>0</v>
      </c>
      <c r="J77" s="25">
        <f t="shared" si="5"/>
        <v>0</v>
      </c>
      <c r="K77" s="25">
        <f t="shared" si="5"/>
        <v>0</v>
      </c>
      <c r="L77" s="25">
        <f t="shared" si="5"/>
        <v>0</v>
      </c>
      <c r="M77" s="25">
        <f t="shared" si="5"/>
        <v>0</v>
      </c>
      <c r="N77" s="25">
        <f t="shared" si="5"/>
        <v>0</v>
      </c>
      <c r="O77" s="25">
        <f t="shared" si="5"/>
        <v>0</v>
      </c>
      <c r="P77" s="25">
        <f t="shared" si="5"/>
        <v>0</v>
      </c>
    </row>
    <row r="78" spans="1:16" x14ac:dyDescent="0.3">
      <c r="B78" s="13"/>
      <c r="C78" s="4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4"/>
    </row>
    <row r="79" spans="1:16" ht="27.6" x14ac:dyDescent="0.3">
      <c r="A79" s="6">
        <v>2</v>
      </c>
      <c r="B79" s="19" t="s">
        <v>13</v>
      </c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</row>
    <row r="80" spans="1:16" ht="24.6" x14ac:dyDescent="0.3">
      <c r="B80" s="10" t="s">
        <v>14</v>
      </c>
      <c r="C80" s="2" t="s">
        <v>5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f t="shared" si="0"/>
        <v>0</v>
      </c>
    </row>
    <row r="81" spans="2:16" x14ac:dyDescent="0.3">
      <c r="B81" s="10" t="s">
        <v>15</v>
      </c>
      <c r="C81" s="2" t="s">
        <v>5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f>SUM(D81:O81)</f>
        <v>0</v>
      </c>
    </row>
    <row r="82" spans="2:16" x14ac:dyDescent="0.3">
      <c r="B82" s="10" t="s">
        <v>59</v>
      </c>
      <c r="C82" s="2" t="s">
        <v>5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f>SUM(D82:O82)</f>
        <v>0</v>
      </c>
    </row>
    <row r="83" spans="2:16" x14ac:dyDescent="0.3">
      <c r="B83" s="10" t="s">
        <v>16</v>
      </c>
      <c r="C83" s="2" t="s">
        <v>5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f t="shared" si="0"/>
        <v>0</v>
      </c>
    </row>
    <row r="84" spans="2:16" x14ac:dyDescent="0.3">
      <c r="B84" s="10" t="s">
        <v>60</v>
      </c>
      <c r="C84" s="2" t="s">
        <v>5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f>SUM(D84:O84)</f>
        <v>0</v>
      </c>
    </row>
    <row r="85" spans="2:16" x14ac:dyDescent="0.3">
      <c r="B85" s="10" t="s">
        <v>17</v>
      </c>
      <c r="C85" s="2" t="s">
        <v>5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f t="shared" si="0"/>
        <v>0</v>
      </c>
    </row>
    <row r="86" spans="2:16" x14ac:dyDescent="0.3">
      <c r="B86" s="10" t="s">
        <v>61</v>
      </c>
      <c r="C86" s="2" t="s">
        <v>5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f t="shared" si="0"/>
        <v>0</v>
      </c>
    </row>
    <row r="87" spans="2:16" x14ac:dyDescent="0.3">
      <c r="B87" s="10" t="s">
        <v>53</v>
      </c>
      <c r="C87" s="2" t="s">
        <v>5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f>SUM(D87:O87)</f>
        <v>0</v>
      </c>
    </row>
    <row r="88" spans="2:16" ht="24.6" x14ac:dyDescent="0.3">
      <c r="B88" s="10" t="s">
        <v>62</v>
      </c>
      <c r="C88" s="2" t="s">
        <v>5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f t="shared" si="0"/>
        <v>0</v>
      </c>
    </row>
    <row r="89" spans="2:16" x14ac:dyDescent="0.3">
      <c r="B89" s="10" t="s">
        <v>54</v>
      </c>
      <c r="C89" s="2" t="s">
        <v>5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f>SUM(D89:O89)</f>
        <v>0</v>
      </c>
    </row>
    <row r="90" spans="2:16" ht="24.6" x14ac:dyDescent="0.3">
      <c r="B90" s="10" t="s">
        <v>63</v>
      </c>
      <c r="C90" s="2" t="s">
        <v>5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f t="shared" si="0"/>
        <v>0</v>
      </c>
    </row>
    <row r="91" spans="2:16" x14ac:dyDescent="0.3">
      <c r="B91" s="10" t="s">
        <v>18</v>
      </c>
      <c r="C91" s="2" t="s">
        <v>5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f t="shared" si="0"/>
        <v>0</v>
      </c>
    </row>
    <row r="92" spans="2:16" ht="24.6" x14ac:dyDescent="0.3">
      <c r="B92" s="10" t="s">
        <v>64</v>
      </c>
      <c r="C92" s="2" t="s">
        <v>5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f t="shared" si="0"/>
        <v>0</v>
      </c>
    </row>
    <row r="93" spans="2:16" x14ac:dyDescent="0.3">
      <c r="B93" s="10" t="s">
        <v>19</v>
      </c>
      <c r="C93" s="2" t="s">
        <v>5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f t="shared" si="0"/>
        <v>0</v>
      </c>
    </row>
    <row r="94" spans="2:16" ht="24.6" x14ac:dyDescent="0.3">
      <c r="B94" s="10" t="s">
        <v>65</v>
      </c>
      <c r="C94" s="2" t="s">
        <v>5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f t="shared" si="0"/>
        <v>0</v>
      </c>
    </row>
    <row r="95" spans="2:16" x14ac:dyDescent="0.3">
      <c r="B95" s="10" t="s">
        <v>67</v>
      </c>
      <c r="C95" s="2" t="s">
        <v>5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>
        <f>SUM(D95:O95)</f>
        <v>0</v>
      </c>
    </row>
    <row r="96" spans="2:16" x14ac:dyDescent="0.3">
      <c r="B96" s="10" t="s">
        <v>68</v>
      </c>
      <c r="C96" s="2" t="s">
        <v>5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>
        <f>SUM(D96:O96)</f>
        <v>0</v>
      </c>
    </row>
    <row r="97" spans="2:16" x14ac:dyDescent="0.3">
      <c r="B97" s="10" t="s">
        <v>73</v>
      </c>
      <c r="C97" s="2" t="s">
        <v>5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f t="shared" si="0"/>
        <v>0</v>
      </c>
    </row>
    <row r="98" spans="2:16" ht="24.6" x14ac:dyDescent="0.3">
      <c r="B98" s="10" t="s">
        <v>74</v>
      </c>
      <c r="C98" s="2" t="s">
        <v>5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f>SUM(D98:O98)</f>
        <v>0</v>
      </c>
    </row>
    <row r="99" spans="2:16" x14ac:dyDescent="0.3">
      <c r="B99" s="10" t="s">
        <v>75</v>
      </c>
      <c r="C99" s="2" t="s">
        <v>5</v>
      </c>
      <c r="D99" s="24">
        <v>0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f t="shared" si="0"/>
        <v>0</v>
      </c>
    </row>
    <row r="100" spans="2:16" ht="24.6" x14ac:dyDescent="0.3">
      <c r="B100" s="10" t="s">
        <v>76</v>
      </c>
      <c r="C100" s="2" t="s">
        <v>5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f>SUM(D100:O100)</f>
        <v>0</v>
      </c>
    </row>
    <row r="101" spans="2:16" x14ac:dyDescent="0.3">
      <c r="B101" s="10" t="s">
        <v>69</v>
      </c>
      <c r="C101" s="2" t="s">
        <v>5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f>SUM(D101:O101)</f>
        <v>0</v>
      </c>
    </row>
    <row r="102" spans="2:16" ht="24.6" x14ac:dyDescent="0.3">
      <c r="B102" s="10" t="s">
        <v>70</v>
      </c>
      <c r="C102" s="2" t="s">
        <v>5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>
        <f t="shared" si="0"/>
        <v>0</v>
      </c>
    </row>
    <row r="103" spans="2:16" x14ac:dyDescent="0.3">
      <c r="B103" s="10" t="s">
        <v>71</v>
      </c>
      <c r="C103" s="2" t="s">
        <v>5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>
        <f>SUM(D103:O103)</f>
        <v>0</v>
      </c>
    </row>
    <row r="104" spans="2:16" ht="27" customHeight="1" x14ac:dyDescent="0.3">
      <c r="B104" s="10" t="s">
        <v>72</v>
      </c>
      <c r="C104" s="2" t="s">
        <v>5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f t="shared" si="0"/>
        <v>0</v>
      </c>
    </row>
    <row r="105" spans="2:16" x14ac:dyDescent="0.3">
      <c r="B105" s="11" t="s">
        <v>12</v>
      </c>
      <c r="C105" s="3" t="s">
        <v>5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/>
    </row>
    <row r="106" spans="2:16" x14ac:dyDescent="0.3"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4"/>
    </row>
    <row r="107" spans="2:16" ht="24.6" x14ac:dyDescent="0.3">
      <c r="B107" s="10" t="s">
        <v>14</v>
      </c>
      <c r="C107" s="2" t="s">
        <v>25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f t="shared" si="0"/>
        <v>0</v>
      </c>
    </row>
    <row r="108" spans="2:16" x14ac:dyDescent="0.3">
      <c r="B108" s="10" t="s">
        <v>17</v>
      </c>
      <c r="C108" s="2" t="s">
        <v>25</v>
      </c>
      <c r="D108" s="24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f t="shared" si="0"/>
        <v>0</v>
      </c>
    </row>
    <row r="109" spans="2:16" x14ac:dyDescent="0.3">
      <c r="B109" s="10" t="s">
        <v>61</v>
      </c>
      <c r="C109" s="2" t="s">
        <v>25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>
        <f t="shared" si="0"/>
        <v>0</v>
      </c>
    </row>
    <row r="110" spans="2:16" x14ac:dyDescent="0.3">
      <c r="B110" s="10" t="s">
        <v>53</v>
      </c>
      <c r="C110" s="2" t="s">
        <v>25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>
        <f t="shared" si="0"/>
        <v>0</v>
      </c>
    </row>
    <row r="111" spans="2:16" ht="24.6" x14ac:dyDescent="0.3">
      <c r="B111" s="10" t="s">
        <v>62</v>
      </c>
      <c r="C111" s="2" t="s">
        <v>25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>
        <f t="shared" si="0"/>
        <v>0</v>
      </c>
    </row>
    <row r="112" spans="2:16" x14ac:dyDescent="0.3">
      <c r="B112" s="10" t="s">
        <v>67</v>
      </c>
      <c r="C112" s="2" t="s">
        <v>25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f t="shared" si="0"/>
        <v>0</v>
      </c>
    </row>
    <row r="113" spans="2:16" x14ac:dyDescent="0.3">
      <c r="B113" s="10" t="s">
        <v>68</v>
      </c>
      <c r="C113" s="2" t="s">
        <v>25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f t="shared" si="0"/>
        <v>0</v>
      </c>
    </row>
    <row r="114" spans="2:16" x14ac:dyDescent="0.3">
      <c r="B114" s="10" t="s">
        <v>73</v>
      </c>
      <c r="C114" s="2" t="s">
        <v>25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>
        <f t="shared" si="0"/>
        <v>0</v>
      </c>
    </row>
    <row r="115" spans="2:16" ht="24.6" x14ac:dyDescent="0.3">
      <c r="B115" s="10" t="s">
        <v>74</v>
      </c>
      <c r="C115" s="2" t="s">
        <v>25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>
        <f t="shared" si="0"/>
        <v>0</v>
      </c>
    </row>
    <row r="116" spans="2:16" x14ac:dyDescent="0.3">
      <c r="B116" s="10" t="s">
        <v>69</v>
      </c>
      <c r="C116" s="2" t="s">
        <v>25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>
        <f t="shared" si="0"/>
        <v>0</v>
      </c>
    </row>
    <row r="117" spans="2:16" ht="24.6" x14ac:dyDescent="0.3">
      <c r="B117" s="10" t="s">
        <v>70</v>
      </c>
      <c r="C117" s="2" t="s">
        <v>25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f t="shared" si="0"/>
        <v>0</v>
      </c>
    </row>
    <row r="118" spans="2:16" x14ac:dyDescent="0.3">
      <c r="B118" s="10" t="s">
        <v>71</v>
      </c>
      <c r="C118" s="2" t="s">
        <v>25</v>
      </c>
      <c r="D118" s="24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f t="shared" si="0"/>
        <v>0</v>
      </c>
    </row>
    <row r="119" spans="2:16" ht="27" customHeight="1" x14ac:dyDescent="0.3">
      <c r="B119" s="10" t="s">
        <v>72</v>
      </c>
      <c r="C119" s="2" t="s">
        <v>25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>
        <f t="shared" si="0"/>
        <v>0</v>
      </c>
    </row>
    <row r="120" spans="2:16" x14ac:dyDescent="0.3">
      <c r="B120" s="11" t="s">
        <v>12</v>
      </c>
      <c r="C120" s="3" t="s">
        <v>25</v>
      </c>
      <c r="D120" s="25">
        <f>D107-(D108+D109+D110+D111+D112+D113+D114+D115-D116-D117-D118-D119 )</f>
        <v>0</v>
      </c>
      <c r="E120" s="25">
        <f t="shared" ref="E120:P120" si="6">E107-(E108+E109+E110+E111+E112+E113+E114+E115-E116-E117-E118-E119)</f>
        <v>0</v>
      </c>
      <c r="F120" s="25">
        <f t="shared" si="6"/>
        <v>0</v>
      </c>
      <c r="G120" s="25">
        <f t="shared" si="6"/>
        <v>0</v>
      </c>
      <c r="H120" s="25">
        <f t="shared" si="6"/>
        <v>0</v>
      </c>
      <c r="I120" s="25">
        <f t="shared" si="6"/>
        <v>0</v>
      </c>
      <c r="J120" s="25">
        <f t="shared" si="6"/>
        <v>0</v>
      </c>
      <c r="K120" s="25">
        <f t="shared" si="6"/>
        <v>0</v>
      </c>
      <c r="L120" s="25">
        <f t="shared" si="6"/>
        <v>0</v>
      </c>
      <c r="M120" s="25">
        <f t="shared" si="6"/>
        <v>0</v>
      </c>
      <c r="N120" s="25">
        <f t="shared" si="6"/>
        <v>0</v>
      </c>
      <c r="O120" s="25">
        <f t="shared" si="6"/>
        <v>0</v>
      </c>
      <c r="P120" s="25">
        <f t="shared" si="6"/>
        <v>0</v>
      </c>
    </row>
    <row r="121" spans="2:16" x14ac:dyDescent="0.3">
      <c r="B121" s="13"/>
      <c r="C121" s="4"/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4"/>
    </row>
    <row r="122" spans="2:16" ht="24.6" x14ac:dyDescent="0.3">
      <c r="B122" s="10" t="s">
        <v>14</v>
      </c>
      <c r="C122" s="2" t="s">
        <v>22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4">
        <f t="shared" si="0"/>
        <v>0</v>
      </c>
    </row>
    <row r="123" spans="2:16" x14ac:dyDescent="0.3">
      <c r="B123" s="10" t="s">
        <v>17</v>
      </c>
      <c r="C123" s="2" t="s">
        <v>22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4">
        <f t="shared" si="0"/>
        <v>0</v>
      </c>
    </row>
    <row r="124" spans="2:16" x14ac:dyDescent="0.3">
      <c r="B124" s="10" t="s">
        <v>61</v>
      </c>
      <c r="C124" s="2" t="s">
        <v>22</v>
      </c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4">
        <f t="shared" si="0"/>
        <v>0</v>
      </c>
    </row>
    <row r="125" spans="2:16" x14ac:dyDescent="0.3">
      <c r="B125" s="10" t="s">
        <v>53</v>
      </c>
      <c r="C125" s="2" t="s">
        <v>22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4">
        <f t="shared" si="0"/>
        <v>0</v>
      </c>
    </row>
    <row r="126" spans="2:16" ht="24.6" x14ac:dyDescent="0.3">
      <c r="B126" s="10" t="s">
        <v>62</v>
      </c>
      <c r="C126" s="2" t="s">
        <v>22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4">
        <f t="shared" si="0"/>
        <v>0</v>
      </c>
    </row>
    <row r="127" spans="2:16" x14ac:dyDescent="0.3">
      <c r="B127" s="10" t="s">
        <v>67</v>
      </c>
      <c r="C127" s="2" t="s">
        <v>22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4">
        <f t="shared" si="0"/>
        <v>0</v>
      </c>
    </row>
    <row r="128" spans="2:16" x14ac:dyDescent="0.3">
      <c r="B128" s="10" t="s">
        <v>68</v>
      </c>
      <c r="C128" s="2" t="s">
        <v>22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4">
        <f t="shared" si="0"/>
        <v>0</v>
      </c>
    </row>
    <row r="129" spans="1:16" x14ac:dyDescent="0.3">
      <c r="B129" s="10" t="s">
        <v>73</v>
      </c>
      <c r="C129" s="2" t="s">
        <v>22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4">
        <f t="shared" si="0"/>
        <v>0</v>
      </c>
    </row>
    <row r="130" spans="1:16" ht="24.6" x14ac:dyDescent="0.3">
      <c r="B130" s="10" t="s">
        <v>74</v>
      </c>
      <c r="C130" s="2" t="s">
        <v>22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4">
        <f t="shared" si="0"/>
        <v>0</v>
      </c>
    </row>
    <row r="131" spans="1:16" x14ac:dyDescent="0.3">
      <c r="B131" s="10" t="s">
        <v>69</v>
      </c>
      <c r="C131" s="2" t="s">
        <v>22</v>
      </c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4">
        <f t="shared" si="0"/>
        <v>0</v>
      </c>
    </row>
    <row r="132" spans="1:16" ht="24.6" x14ac:dyDescent="0.3">
      <c r="B132" s="10" t="s">
        <v>70</v>
      </c>
      <c r="C132" s="2" t="s">
        <v>22</v>
      </c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4">
        <f t="shared" si="0"/>
        <v>0</v>
      </c>
    </row>
    <row r="133" spans="1:16" x14ac:dyDescent="0.3">
      <c r="B133" s="10" t="s">
        <v>71</v>
      </c>
      <c r="C133" s="2" t="s">
        <v>22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4">
        <f t="shared" si="0"/>
        <v>0</v>
      </c>
    </row>
    <row r="134" spans="1:16" ht="24.6" x14ac:dyDescent="0.3">
      <c r="B134" s="10" t="s">
        <v>72</v>
      </c>
      <c r="C134" s="2" t="s">
        <v>22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4">
        <f t="shared" si="0"/>
        <v>0</v>
      </c>
    </row>
    <row r="135" spans="1:16" x14ac:dyDescent="0.3">
      <c r="B135" s="11" t="s">
        <v>12</v>
      </c>
      <c r="C135" s="3" t="s">
        <v>22</v>
      </c>
      <c r="D135" s="25">
        <f t="shared" ref="D135:P135" si="7">D122-(D123+D124+D125+D126+D127+D128+D129+D130-D131-D132-D133-D134)</f>
        <v>0</v>
      </c>
      <c r="E135" s="25">
        <f t="shared" si="7"/>
        <v>0</v>
      </c>
      <c r="F135" s="25">
        <f t="shared" si="7"/>
        <v>0</v>
      </c>
      <c r="G135" s="25">
        <f t="shared" si="7"/>
        <v>0</v>
      </c>
      <c r="H135" s="25">
        <f t="shared" si="7"/>
        <v>0</v>
      </c>
      <c r="I135" s="25">
        <f t="shared" si="7"/>
        <v>0</v>
      </c>
      <c r="J135" s="25">
        <f t="shared" si="7"/>
        <v>0</v>
      </c>
      <c r="K135" s="25">
        <f t="shared" si="7"/>
        <v>0</v>
      </c>
      <c r="L135" s="25">
        <f t="shared" si="7"/>
        <v>0</v>
      </c>
      <c r="M135" s="25">
        <f t="shared" si="7"/>
        <v>0</v>
      </c>
      <c r="N135" s="25">
        <f t="shared" si="7"/>
        <v>0</v>
      </c>
      <c r="O135" s="25">
        <f t="shared" si="7"/>
        <v>0</v>
      </c>
      <c r="P135" s="25">
        <f t="shared" si="7"/>
        <v>0</v>
      </c>
    </row>
    <row r="136" spans="1:16" x14ac:dyDescent="0.3"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4"/>
    </row>
    <row r="137" spans="1:16" ht="27.6" x14ac:dyDescent="0.3">
      <c r="A137" s="6">
        <v>3</v>
      </c>
      <c r="B137" s="19" t="s">
        <v>20</v>
      </c>
      <c r="C137" s="1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 spans="1:16" ht="24.6" x14ac:dyDescent="0.3">
      <c r="B138" s="10" t="s">
        <v>23</v>
      </c>
      <c r="C138" s="2" t="s">
        <v>5</v>
      </c>
      <c r="D138" s="26">
        <v>0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4">
        <f t="shared" si="0"/>
        <v>0</v>
      </c>
    </row>
    <row r="139" spans="1:16" x14ac:dyDescent="0.3">
      <c r="B139" s="10" t="s">
        <v>24</v>
      </c>
      <c r="C139" s="2" t="s">
        <v>5</v>
      </c>
      <c r="D139" s="26">
        <v>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4">
        <f t="shared" si="0"/>
        <v>0</v>
      </c>
    </row>
    <row r="140" spans="1:16" x14ac:dyDescent="0.3">
      <c r="B140" s="11" t="s">
        <v>12</v>
      </c>
      <c r="C140" s="3" t="s">
        <v>5</v>
      </c>
      <c r="D140" s="25">
        <f>D138-D139</f>
        <v>0</v>
      </c>
      <c r="E140" s="25">
        <f t="shared" ref="E140:P140" si="8">E138-E139</f>
        <v>0</v>
      </c>
      <c r="F140" s="25">
        <f t="shared" si="8"/>
        <v>0</v>
      </c>
      <c r="G140" s="25">
        <f t="shared" si="8"/>
        <v>0</v>
      </c>
      <c r="H140" s="25">
        <f t="shared" si="8"/>
        <v>0</v>
      </c>
      <c r="I140" s="25">
        <f t="shared" si="8"/>
        <v>0</v>
      </c>
      <c r="J140" s="25">
        <f t="shared" si="8"/>
        <v>0</v>
      </c>
      <c r="K140" s="25">
        <f t="shared" si="8"/>
        <v>0</v>
      </c>
      <c r="L140" s="25">
        <f t="shared" si="8"/>
        <v>0</v>
      </c>
      <c r="M140" s="25">
        <f t="shared" si="8"/>
        <v>0</v>
      </c>
      <c r="N140" s="25">
        <f t="shared" si="8"/>
        <v>0</v>
      </c>
      <c r="O140" s="25">
        <f t="shared" si="8"/>
        <v>0</v>
      </c>
      <c r="P140" s="25">
        <f t="shared" si="8"/>
        <v>0</v>
      </c>
    </row>
    <row r="141" spans="1:16" x14ac:dyDescent="0.3"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4">
        <f t="shared" si="0"/>
        <v>0</v>
      </c>
    </row>
    <row r="142" spans="1:16" ht="27.6" x14ac:dyDescent="0.3">
      <c r="A142" s="6">
        <v>4</v>
      </c>
      <c r="B142" s="19" t="s">
        <v>28</v>
      </c>
      <c r="C142" s="1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</row>
    <row r="143" spans="1:16" ht="24.6" x14ac:dyDescent="0.3">
      <c r="B143" s="10" t="s">
        <v>29</v>
      </c>
      <c r="C143" s="2" t="s">
        <v>5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4">
        <f t="shared" si="0"/>
        <v>0</v>
      </c>
    </row>
    <row r="144" spans="1:16" x14ac:dyDescent="0.3">
      <c r="B144" s="10" t="s">
        <v>30</v>
      </c>
      <c r="C144" s="2" t="s">
        <v>5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4">
        <f t="shared" si="0"/>
        <v>0</v>
      </c>
    </row>
    <row r="145" spans="2:16" x14ac:dyDescent="0.3">
      <c r="B145" s="11" t="s">
        <v>12</v>
      </c>
      <c r="C145" s="3" t="s">
        <v>5</v>
      </c>
      <c r="D145" s="25">
        <f>D143-D144</f>
        <v>0</v>
      </c>
      <c r="E145" s="25">
        <f t="shared" ref="E145:P145" si="9">E143-E144</f>
        <v>0</v>
      </c>
      <c r="F145" s="25">
        <f t="shared" si="9"/>
        <v>0</v>
      </c>
      <c r="G145" s="25">
        <f t="shared" si="9"/>
        <v>0</v>
      </c>
      <c r="H145" s="25">
        <f t="shared" si="9"/>
        <v>0</v>
      </c>
      <c r="I145" s="25">
        <f t="shared" si="9"/>
        <v>0</v>
      </c>
      <c r="J145" s="25">
        <f t="shared" si="9"/>
        <v>0</v>
      </c>
      <c r="K145" s="25">
        <f t="shared" si="9"/>
        <v>0</v>
      </c>
      <c r="L145" s="25">
        <f t="shared" si="9"/>
        <v>0</v>
      </c>
      <c r="M145" s="25">
        <f t="shared" si="9"/>
        <v>0</v>
      </c>
      <c r="N145" s="25">
        <f t="shared" si="9"/>
        <v>0</v>
      </c>
      <c r="O145" s="25">
        <f t="shared" si="9"/>
        <v>0</v>
      </c>
      <c r="P145" s="25">
        <f t="shared" si="9"/>
        <v>0</v>
      </c>
    </row>
    <row r="146" spans="2:16" x14ac:dyDescent="0.3"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4">
        <f t="shared" si="0"/>
        <v>0</v>
      </c>
    </row>
    <row r="147" spans="2:16" ht="24.6" x14ac:dyDescent="0.3">
      <c r="B147" s="10" t="s">
        <v>29</v>
      </c>
      <c r="C147" s="2" t="s">
        <v>25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4">
        <f t="shared" si="0"/>
        <v>0</v>
      </c>
    </row>
    <row r="148" spans="2:16" x14ac:dyDescent="0.3">
      <c r="B148" s="10" t="s">
        <v>30</v>
      </c>
      <c r="C148" s="2" t="s">
        <v>25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4">
        <f t="shared" si="0"/>
        <v>0</v>
      </c>
    </row>
    <row r="149" spans="2:16" x14ac:dyDescent="0.3">
      <c r="B149" s="11" t="s">
        <v>12</v>
      </c>
      <c r="C149" s="3" t="s">
        <v>25</v>
      </c>
      <c r="D149" s="25">
        <f>D147-D148</f>
        <v>0</v>
      </c>
      <c r="E149" s="25">
        <f t="shared" ref="E149:P149" si="10">E147-E148</f>
        <v>0</v>
      </c>
      <c r="F149" s="25">
        <f t="shared" si="10"/>
        <v>0</v>
      </c>
      <c r="G149" s="25">
        <f t="shared" si="10"/>
        <v>0</v>
      </c>
      <c r="H149" s="25">
        <f t="shared" si="10"/>
        <v>0</v>
      </c>
      <c r="I149" s="25">
        <f t="shared" si="10"/>
        <v>0</v>
      </c>
      <c r="J149" s="25">
        <f t="shared" si="10"/>
        <v>0</v>
      </c>
      <c r="K149" s="25">
        <f t="shared" si="10"/>
        <v>0</v>
      </c>
      <c r="L149" s="25">
        <f t="shared" si="10"/>
        <v>0</v>
      </c>
      <c r="M149" s="25">
        <f t="shared" si="10"/>
        <v>0</v>
      </c>
      <c r="N149" s="25">
        <f t="shared" si="10"/>
        <v>0</v>
      </c>
      <c r="O149" s="25">
        <f t="shared" si="10"/>
        <v>0</v>
      </c>
      <c r="P149" s="25">
        <f t="shared" si="10"/>
        <v>0</v>
      </c>
    </row>
    <row r="150" spans="2:16" x14ac:dyDescent="0.3"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4"/>
    </row>
    <row r="151" spans="2:16" ht="24.6" x14ac:dyDescent="0.3">
      <c r="B151" s="10" t="s">
        <v>29</v>
      </c>
      <c r="C151" s="2" t="s">
        <v>26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4">
        <f t="shared" ref="P151:P165" si="11">SUM(D151:O151)</f>
        <v>0</v>
      </c>
    </row>
    <row r="152" spans="2:16" x14ac:dyDescent="0.3">
      <c r="B152" s="10" t="s">
        <v>30</v>
      </c>
      <c r="C152" s="2" t="s">
        <v>26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4">
        <f t="shared" si="11"/>
        <v>0</v>
      </c>
    </row>
    <row r="153" spans="2:16" x14ac:dyDescent="0.3">
      <c r="B153" s="11" t="s">
        <v>12</v>
      </c>
      <c r="C153" s="3" t="s">
        <v>26</v>
      </c>
      <c r="D153" s="25">
        <f>D151-D152</f>
        <v>0</v>
      </c>
      <c r="E153" s="25">
        <f t="shared" ref="E153:P153" si="12">E151-E152</f>
        <v>0</v>
      </c>
      <c r="F153" s="25">
        <f t="shared" si="12"/>
        <v>0</v>
      </c>
      <c r="G153" s="25">
        <f t="shared" si="12"/>
        <v>0</v>
      </c>
      <c r="H153" s="25">
        <f t="shared" si="12"/>
        <v>0</v>
      </c>
      <c r="I153" s="25">
        <f t="shared" si="12"/>
        <v>0</v>
      </c>
      <c r="J153" s="25">
        <f t="shared" si="12"/>
        <v>0</v>
      </c>
      <c r="K153" s="25">
        <f t="shared" si="12"/>
        <v>0</v>
      </c>
      <c r="L153" s="25">
        <f t="shared" si="12"/>
        <v>0</v>
      </c>
      <c r="M153" s="25">
        <f t="shared" si="12"/>
        <v>0</v>
      </c>
      <c r="N153" s="25">
        <f t="shared" si="12"/>
        <v>0</v>
      </c>
      <c r="O153" s="25">
        <f t="shared" si="12"/>
        <v>0</v>
      </c>
      <c r="P153" s="25">
        <f t="shared" si="12"/>
        <v>0</v>
      </c>
    </row>
    <row r="154" spans="2:16" x14ac:dyDescent="0.3"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4"/>
    </row>
    <row r="155" spans="2:16" ht="24.6" x14ac:dyDescent="0.3">
      <c r="B155" s="10" t="s">
        <v>29</v>
      </c>
      <c r="C155" s="2" t="s">
        <v>27</v>
      </c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4">
        <f t="shared" si="11"/>
        <v>0</v>
      </c>
    </row>
    <row r="156" spans="2:16" x14ac:dyDescent="0.3">
      <c r="B156" s="10" t="s">
        <v>30</v>
      </c>
      <c r="C156" s="2" t="s">
        <v>27</v>
      </c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4">
        <f t="shared" si="11"/>
        <v>0</v>
      </c>
    </row>
    <row r="157" spans="2:16" x14ac:dyDescent="0.3">
      <c r="B157" s="11" t="s">
        <v>12</v>
      </c>
      <c r="C157" s="3" t="s">
        <v>27</v>
      </c>
      <c r="D157" s="25">
        <f>D155-D156</f>
        <v>0</v>
      </c>
      <c r="E157" s="25">
        <f t="shared" ref="E157:P157" si="13">E155-E156</f>
        <v>0</v>
      </c>
      <c r="F157" s="25">
        <f t="shared" si="13"/>
        <v>0</v>
      </c>
      <c r="G157" s="25">
        <f t="shared" si="13"/>
        <v>0</v>
      </c>
      <c r="H157" s="25">
        <f t="shared" si="13"/>
        <v>0</v>
      </c>
      <c r="I157" s="25">
        <f t="shared" si="13"/>
        <v>0</v>
      </c>
      <c r="J157" s="25">
        <f t="shared" si="13"/>
        <v>0</v>
      </c>
      <c r="K157" s="25">
        <f t="shared" si="13"/>
        <v>0</v>
      </c>
      <c r="L157" s="25">
        <f t="shared" si="13"/>
        <v>0</v>
      </c>
      <c r="M157" s="25">
        <f t="shared" si="13"/>
        <v>0</v>
      </c>
      <c r="N157" s="25">
        <f t="shared" si="13"/>
        <v>0</v>
      </c>
      <c r="O157" s="25">
        <f t="shared" si="13"/>
        <v>0</v>
      </c>
      <c r="P157" s="25">
        <f t="shared" si="13"/>
        <v>0</v>
      </c>
    </row>
    <row r="158" spans="2:16" x14ac:dyDescent="0.3"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4"/>
    </row>
    <row r="159" spans="2:16" ht="24.6" x14ac:dyDescent="0.3">
      <c r="B159" s="10" t="s">
        <v>29</v>
      </c>
      <c r="C159" s="2" t="s">
        <v>22</v>
      </c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4">
        <f t="shared" si="11"/>
        <v>0</v>
      </c>
    </row>
    <row r="160" spans="2:16" x14ac:dyDescent="0.3">
      <c r="B160" s="10" t="s">
        <v>30</v>
      </c>
      <c r="C160" s="2" t="s">
        <v>22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4">
        <f t="shared" si="11"/>
        <v>0</v>
      </c>
    </row>
    <row r="161" spans="1:16" x14ac:dyDescent="0.3">
      <c r="B161" s="11" t="s">
        <v>12</v>
      </c>
      <c r="C161" s="3" t="s">
        <v>22</v>
      </c>
      <c r="D161" s="25">
        <f>D159-D160</f>
        <v>0</v>
      </c>
      <c r="E161" s="25">
        <f t="shared" ref="E161:P161" si="14">E159-E160</f>
        <v>0</v>
      </c>
      <c r="F161" s="25">
        <f t="shared" si="14"/>
        <v>0</v>
      </c>
      <c r="G161" s="25">
        <f t="shared" si="14"/>
        <v>0</v>
      </c>
      <c r="H161" s="25">
        <f t="shared" si="14"/>
        <v>0</v>
      </c>
      <c r="I161" s="25">
        <f t="shared" si="14"/>
        <v>0</v>
      </c>
      <c r="J161" s="25">
        <f t="shared" si="14"/>
        <v>0</v>
      </c>
      <c r="K161" s="25">
        <f t="shared" si="14"/>
        <v>0</v>
      </c>
      <c r="L161" s="25">
        <f t="shared" si="14"/>
        <v>0</v>
      </c>
      <c r="M161" s="25">
        <f t="shared" si="14"/>
        <v>0</v>
      </c>
      <c r="N161" s="25">
        <f t="shared" si="14"/>
        <v>0</v>
      </c>
      <c r="O161" s="25">
        <f t="shared" si="14"/>
        <v>0</v>
      </c>
      <c r="P161" s="25">
        <f t="shared" si="14"/>
        <v>0</v>
      </c>
    </row>
    <row r="162" spans="1:16" x14ac:dyDescent="0.3"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4"/>
    </row>
    <row r="163" spans="1:16" x14ac:dyDescent="0.3">
      <c r="A163" s="6">
        <v>5</v>
      </c>
      <c r="B163" s="19" t="s">
        <v>21</v>
      </c>
      <c r="C163" s="1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</row>
    <row r="164" spans="1:16" x14ac:dyDescent="0.3">
      <c r="B164" s="10" t="s">
        <v>36</v>
      </c>
      <c r="C164" s="2" t="s">
        <v>5</v>
      </c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4">
        <f t="shared" si="11"/>
        <v>0</v>
      </c>
    </row>
    <row r="165" spans="1:16" x14ac:dyDescent="0.3">
      <c r="B165" s="10" t="s">
        <v>31</v>
      </c>
      <c r="C165" s="2" t="s">
        <v>5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4">
        <f t="shared" si="11"/>
        <v>0</v>
      </c>
    </row>
    <row r="166" spans="1:16" x14ac:dyDescent="0.3">
      <c r="B166" s="11" t="s">
        <v>12</v>
      </c>
      <c r="C166" s="3" t="s">
        <v>5</v>
      </c>
      <c r="D166" s="25">
        <f>D164-D165</f>
        <v>0</v>
      </c>
      <c r="E166" s="25">
        <f t="shared" ref="E166:P166" si="15">E164-E165</f>
        <v>0</v>
      </c>
      <c r="F166" s="25">
        <f t="shared" si="15"/>
        <v>0</v>
      </c>
      <c r="G166" s="25">
        <f t="shared" si="15"/>
        <v>0</v>
      </c>
      <c r="H166" s="25">
        <f t="shared" si="15"/>
        <v>0</v>
      </c>
      <c r="I166" s="25">
        <f t="shared" si="15"/>
        <v>0</v>
      </c>
      <c r="J166" s="25">
        <f t="shared" si="15"/>
        <v>0</v>
      </c>
      <c r="K166" s="25">
        <f t="shared" si="15"/>
        <v>0</v>
      </c>
      <c r="L166" s="25">
        <f t="shared" si="15"/>
        <v>0</v>
      </c>
      <c r="M166" s="25">
        <f t="shared" si="15"/>
        <v>0</v>
      </c>
      <c r="N166" s="25">
        <f t="shared" si="15"/>
        <v>0</v>
      </c>
      <c r="O166" s="25">
        <f t="shared" si="15"/>
        <v>0</v>
      </c>
      <c r="P166" s="25">
        <f t="shared" si="15"/>
        <v>0</v>
      </c>
    </row>
  </sheetData>
  <mergeCells count="7">
    <mergeCell ref="A5:P5"/>
    <mergeCell ref="B2:C2"/>
    <mergeCell ref="D2:P2"/>
    <mergeCell ref="B3:C3"/>
    <mergeCell ref="D3:P3"/>
    <mergeCell ref="B4:C4"/>
    <mergeCell ref="D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GSTR3B VS GSTR1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RAJ</cp:lastModifiedBy>
  <dcterms:created xsi:type="dcterms:W3CDTF">2025-02-13T04:54:08Z</dcterms:created>
  <dcterms:modified xsi:type="dcterms:W3CDTF">2026-04-16T13:13:18Z</dcterms:modified>
</cp:coreProperties>
</file>