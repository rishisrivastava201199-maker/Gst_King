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janand\Desktop\17-01-2023\templates2024 fin year\"/>
    </mc:Choice>
  </mc:AlternateContent>
  <bookViews>
    <workbookView xWindow="0" yWindow="0" windowWidth="20490" windowHeight="7650" activeTab="0"/>
  </bookViews>
  <sheets>
    <sheet name="GSTR2A VS GSTR3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<sst xmlns="http://schemas.openxmlformats.org/spreadsheetml/2006/main">
  <si>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GSTIN</t>
  </si>
  <si>
    <t>FIN YEAR</t>
  </si>
  <si>
    <t>Tax Details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</si>
  <si>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</si>
  <si>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</si>
  <si>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</si>
  <si>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</si>
  <si>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</si>
  <si>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</si>
  <si>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</si>
  <si>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</si>
  <si>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</si>
  <si>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January </t>
  </si>
  <si>
    <t>February</t>
  </si>
  <si>
    <t>March</t>
  </si>
  <si>
    <t>ITC Available details in GSTR-3B</t>
  </si>
  <si>
    <t>1.Imports of Goods</t>
  </si>
  <si>
    <t>2.Imports of Services</t>
  </si>
  <si>
    <t>3. Inward Supplies liable to reverse charge(other than 1 &amp; 2 Above)</t>
  </si>
  <si>
    <t>4.Inward Supplies from ISD</t>
  </si>
  <si>
    <t>5.All Other ITC</t>
  </si>
  <si>
    <t>Input Tax As per GSTR2A</t>
  </si>
  <si>
    <t>6.B2B Other than Reverse Charge</t>
  </si>
  <si>
    <t>7.B2B Reverse Charge</t>
  </si>
  <si>
    <t xml:space="preserve"> ITC Comparison for B2B other than reverse charge(5 VS 6)</t>
  </si>
  <si>
    <t>5.All other ITC (as per GSTR3b)</t>
  </si>
  <si>
    <t>6.Input Tax B2B other than reverse charge(as per GSTR2A</t>
  </si>
  <si>
    <t>Difference(5-6)</t>
  </si>
  <si>
    <t>GSTR2A VS GSTR3B</t>
  </si>
  <si>
    <t>IGST</t>
  </si>
  <si>
    <t>CESS</t>
  </si>
  <si>
    <t>CGST</t>
  </si>
  <si>
    <t>SGST</t>
  </si>
  <si>
    <t xml:space="preserve">09CMIPR8447Q2ZS</t>
  </si>
  <si>
    <t xml:space="preserve"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</si>
</sst>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/>
    <xf numFmtId="0" fontId="1" fillId="4" borderId="0" xfId="0" applyFont="1" applyFill="1" applyAlignment="1"/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selection activeCell="B2" sqref="B2:M2"/>
    </sheetView>
  </sheetViews>
  <sheetFormatPr defaultColWidth="0" defaultRowHeight="15" x14ac:dyDescent="0.25"/>
  <cols>
    <col min="1" max="1" width="54.140625" customWidth="1"/>
    <col min="2" max="13" width="18.42578125" customWidth="1"/>
    <col min="14" max="16384" width="18.42578125" hidden="1"/>
  </cols>
  <sheetData>
    <row r="1" spans="1:13" x14ac:dyDescent="0.25">
      <c r="A1" t="s" s="11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t="s" s="1">
        <v>0</v>
      </c>
      <c r="B2" t="s" s="9">
        <v>33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t="s" s="1">
        <v>1</v>
      </c>
      <c r="B3" t="s" s="10">
        <v>34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5">
      <c r="A4" t="s" s="1">
        <v>2</v>
      </c>
      <c r="B4" t="s" s="3">
        <v>3</v>
      </c>
      <c r="C4" t="s" s="4">
        <v>4</v>
      </c>
      <c r="D4" t="s" s="4">
        <v>5</v>
      </c>
      <c r="E4" t="s" s="4">
        <v>6</v>
      </c>
      <c r="F4" t="s" s="4">
        <v>7</v>
      </c>
      <c r="G4" t="s" s="4">
        <v>8</v>
      </c>
      <c r="H4" t="s" s="4">
        <v>9</v>
      </c>
      <c r="I4" t="s" s="4">
        <v>10</v>
      </c>
      <c r="J4" t="s" s="4">
        <v>11</v>
      </c>
      <c r="K4" t="s" s="4">
        <v>12</v>
      </c>
      <c r="L4" t="s" s="4">
        <v>13</v>
      </c>
      <c r="M4" t="s" s="4">
        <v>14</v>
      </c>
    </row>
    <row r="5" spans="1:13" s="13" customFormat="1" x14ac:dyDescent="0.25">
      <c r="A5" t="s" s="13">
        <v>15</v>
      </c>
    </row>
    <row r="6" spans="1:13" x14ac:dyDescent="0.25">
      <c r="A6" t="s" s="1">
        <v>16</v>
      </c>
      <c r="B6" s="5"/>
    </row>
    <row r="7" spans="1:13" x14ac:dyDescent="0.25">
      <c r="A7" t="s" s="1">
        <v>29</v>
      </c>
      <c r="B7" s="5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 s="1">
        <v>30</v>
      </c>
      <c r="B8" s="5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/>
      <c r="B9" s="5"/>
    </row>
    <row r="10" spans="1:13" x14ac:dyDescent="0.25">
      <c r="A10" t="s" s="1">
        <v>17</v>
      </c>
      <c r="B10" s="5"/>
    </row>
    <row r="11" spans="1:13" x14ac:dyDescent="0.25">
      <c r="A11" t="s" s="1">
        <v>29</v>
      </c>
      <c r="B11" s="5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 s="1">
        <v>30</v>
      </c>
      <c r="B12" s="5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1"/>
      <c r="B13" s="5"/>
    </row>
    <row r="14" spans="1:13" ht="30" x14ac:dyDescent="0.25">
      <c r="A14" t="s" s="14">
        <v>18</v>
      </c>
      <c r="B14" s="5"/>
    </row>
    <row r="15" spans="1:13" x14ac:dyDescent="0.25">
      <c r="A15" t="s" s="14">
        <v>29</v>
      </c>
      <c r="B15" s="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 s="14">
        <v>31</v>
      </c>
      <c r="B16" s="5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2" x14ac:dyDescent="0.25">
      <c r="A17" t="s" s="14">
        <v>32</v>
      </c>
      <c r="B17" s="5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2" x14ac:dyDescent="0.25">
      <c r="A18" t="s" s="14">
        <v>30</v>
      </c>
      <c r="B18" s="5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2" x14ac:dyDescent="0.25">
      <c r="A19" s="14"/>
      <c r="B19" s="5"/>
    </row>
    <row r="20" spans="1:2" x14ac:dyDescent="0.25">
      <c r="A20" t="s" s="1">
        <v>19</v>
      </c>
      <c r="B20" s="5"/>
    </row>
    <row r="21" spans="1:2" x14ac:dyDescent="0.25">
      <c r="A21" t="s" s="14">
        <v>29</v>
      </c>
      <c r="B21" s="5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2" x14ac:dyDescent="0.25">
      <c r="A22" t="s" s="14">
        <v>31</v>
      </c>
      <c r="B22" s="5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2" x14ac:dyDescent="0.25">
      <c r="A23" t="s" s="14">
        <v>32</v>
      </c>
      <c r="B23" s="5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2" x14ac:dyDescent="0.25">
      <c r="A24" t="s" s="14">
        <v>30</v>
      </c>
      <c r="B24" s="5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2" x14ac:dyDescent="0.25">
      <c r="A25" s="14"/>
      <c r="B25" s="5"/>
    </row>
    <row r="26" spans="1:2" x14ac:dyDescent="0.25">
      <c r="A26" t="s" s="1">
        <v>20</v>
      </c>
      <c r="B26" s="5"/>
    </row>
    <row r="27" spans="1:2" x14ac:dyDescent="0.25">
      <c r="A27" t="s" s="14">
        <v>29</v>
      </c>
      <c r="B27" s="5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2" x14ac:dyDescent="0.25">
      <c r="A28" t="s" s="14">
        <v>31</v>
      </c>
      <c r="B28" s="5">
        <v>155348.09</v>
      </c>
      <c r="C28">
        <v>178727.27</v>
      </c>
      <c r="D28">
        <v>211439.54</v>
      </c>
      <c r="E28">
        <v>53502.39</v>
      </c>
      <c r="F28">
        <v>105069.27</v>
      </c>
      <c r="G28">
        <v>96427.43</v>
      </c>
      <c r="H28">
        <v>97026.7</v>
      </c>
      <c r="I28">
        <v>69388.68</v>
      </c>
      <c r="J28">
        <v>385131.8</v>
      </c>
      <c r="K28">
        <v>177920</v>
      </c>
      <c r="L28">
        <v>187884.42</v>
      </c>
      <c r="M28">
        <v>208378.96</v>
      </c>
    </row>
    <row r="29" spans="1:2" x14ac:dyDescent="0.25">
      <c r="A29" t="s" s="14">
        <v>32</v>
      </c>
      <c r="B29" s="5">
        <v>155348.09</v>
      </c>
      <c r="C29">
        <v>178727.27</v>
      </c>
      <c r="D29">
        <v>211439.54</v>
      </c>
      <c r="E29">
        <v>53502.39</v>
      </c>
      <c r="F29">
        <v>105069.27</v>
      </c>
      <c r="G29">
        <v>96427.43</v>
      </c>
      <c r="H29">
        <v>97026.7</v>
      </c>
      <c r="I29">
        <v>69388.68</v>
      </c>
      <c r="J29">
        <v>385131.8</v>
      </c>
      <c r="K29">
        <v>177920</v>
      </c>
      <c r="L29">
        <v>187884.42</v>
      </c>
      <c r="M29">
        <v>208378.96</v>
      </c>
    </row>
    <row r="30" spans="1:2" x14ac:dyDescent="0.25">
      <c r="A30" t="s" s="14">
        <v>30</v>
      </c>
      <c r="B30" s="5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2" x14ac:dyDescent="0.25">
      <c r="A31" s="14"/>
      <c r="B31" s="5"/>
    </row>
    <row r="32" spans="1:2" x14ac:dyDescent="0.25">
      <c r="A32" t="s" s="6">
        <v>21</v>
      </c>
      <c r="B32" s="5"/>
    </row>
    <row r="33" spans="1:13" x14ac:dyDescent="0.25">
      <c r="A33" t="s" s="1">
        <v>22</v>
      </c>
      <c r="B33" s="5"/>
    </row>
    <row r="34" spans="1:13" x14ac:dyDescent="0.25">
      <c r="A34" t="s">
        <v>29</v>
      </c>
      <c r="B34" s="5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31</v>
      </c>
      <c r="B35" s="5">
        <v>155348.09</v>
      </c>
      <c r="C35">
        <v>178727.27</v>
      </c>
      <c r="D35">
        <v>211439.54</v>
      </c>
      <c r="E35">
        <v>53502.39</v>
      </c>
      <c r="F35">
        <v>105069.27</v>
      </c>
      <c r="G35">
        <v>96427.43</v>
      </c>
      <c r="H35">
        <v>97026.7</v>
      </c>
      <c r="I35">
        <v>69388.68</v>
      </c>
      <c r="J35">
        <v>385131.8</v>
      </c>
      <c r="K35">
        <v>177919.72</v>
      </c>
      <c r="L35">
        <v>187947.42</v>
      </c>
      <c r="M35">
        <v>208378.96</v>
      </c>
    </row>
    <row r="36" spans="1:13" x14ac:dyDescent="0.25">
      <c r="A36" t="s">
        <v>32</v>
      </c>
      <c r="B36" s="5">
        <v>155348.09</v>
      </c>
      <c r="C36">
        <v>178727.27</v>
      </c>
      <c r="D36">
        <v>211439.54</v>
      </c>
      <c r="E36">
        <v>53502.39</v>
      </c>
      <c r="F36">
        <v>105069.27</v>
      </c>
      <c r="G36">
        <v>96427.43</v>
      </c>
      <c r="H36">
        <v>97026.7</v>
      </c>
      <c r="I36">
        <v>69388.68</v>
      </c>
      <c r="J36">
        <v>385131.8</v>
      </c>
      <c r="K36">
        <v>177919.72</v>
      </c>
      <c r="L36">
        <v>187947.42</v>
      </c>
      <c r="M36">
        <v>208378.96</v>
      </c>
    </row>
    <row r="37" spans="1:13" x14ac:dyDescent="0.25">
      <c r="A37" t="s">
        <v>30</v>
      </c>
      <c r="B37" s="5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B38" s="5"/>
    </row>
    <row r="39" spans="1:13" x14ac:dyDescent="0.25">
      <c r="A39" t="s" s="1">
        <v>23</v>
      </c>
      <c r="B39" s="5"/>
    </row>
    <row r="40" spans="1:13" x14ac:dyDescent="0.25">
      <c r="A40" t="s">
        <v>29</v>
      </c>
      <c r="B40" s="5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31</v>
      </c>
      <c r="B41" s="5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32</v>
      </c>
      <c r="B42" s="5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30</v>
      </c>
      <c r="B43" s="5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B44" s="5"/>
    </row>
    <row r="45" spans="1:13" x14ac:dyDescent="0.25">
      <c r="A45" t="s" s="7">
        <v>24</v>
      </c>
      <c r="B45" s="5"/>
    </row>
    <row r="46" spans="1:13" x14ac:dyDescent="0.25">
      <c r="A46" t="s" s="2">
        <v>25</v>
      </c>
      <c r="B46" s="5">
        <f>SUM(B27:B28:B29:B30)</f>
      </c>
      <c r="C46">
        <f>SUM(C27:C28:C29:C30)</f>
      </c>
      <c r="D46">
        <f>SUM(D27:D28:D29:D30)</f>
      </c>
      <c r="E46">
        <f>SUM(E27:E28:E29:E30)</f>
      </c>
      <c r="F46">
        <f>SUM(F27:F28:F29:F30)</f>
      </c>
      <c r="G46">
        <f>SUM(G27:G28:G29:G30)</f>
      </c>
      <c r="H46">
        <f>SUM(H27:H28:H29:H30)</f>
      </c>
      <c r="I46">
        <f>SUM(I27:I28:I29:I30)</f>
      </c>
      <c r="J46">
        <f>SUM(J27:J28:J29:J30)</f>
      </c>
      <c r="K46">
        <f>SUM(K27:K28:K29:K30)</f>
      </c>
      <c r="L46">
        <f>SUM(L27:L28:L29:L30)</f>
      </c>
      <c r="M46">
        <f>SUM(M27:M28:M29:M30)</f>
      </c>
    </row>
    <row r="47" spans="1:13" x14ac:dyDescent="0.25">
      <c r="A47" t="s" s="2">
        <v>26</v>
      </c>
      <c r="B47" s="5">
        <f>SUM(B34:B35:B36:B37)</f>
      </c>
      <c r="C47">
        <f>SUM(C34:C35:C36:C37)</f>
      </c>
      <c r="D47">
        <f>SUM(D34:D35:D36:D37)</f>
      </c>
      <c r="E47">
        <f>SUM(E34:E35:E36:E37)</f>
      </c>
      <c r="F47">
        <f>SUM(F34:F35:F36:F37)</f>
      </c>
      <c r="G47">
        <f>SUM(G34:G35:G35:G37)</f>
      </c>
      <c r="H47">
        <f>SUM(H34:H35:H36:H37)</f>
      </c>
      <c r="I47">
        <f>SUM(I34:I35:I36:I37)</f>
      </c>
      <c r="J47">
        <f>SUM(J34:J35:J36:J37)</f>
      </c>
      <c r="K47">
        <f>SUM(K34:K35:K36:K37)</f>
      </c>
      <c r="L47">
        <f>SUM(L34:L35:L36:L37)</f>
      </c>
      <c r="M47">
        <f>SUM(M34:M35:M36:M37)</f>
      </c>
    </row>
    <row r="48" spans="1:13" x14ac:dyDescent="0.25">
      <c r="A48" t="s" s="8">
        <v>27</v>
      </c>
      <c r="B48" s="5">
        <f>(B46-B47)</f>
      </c>
      <c r="C48">
        <f>C46-C47</f>
      </c>
      <c r="D48">
        <f t="shared" ref="D48:M48" si="0">D46-D47</f>
      </c>
      <c r="E48">
        <f t="shared" si="0"/>
      </c>
      <c r="F48">
        <f t="shared" si="0"/>
      </c>
      <c r="G48">
        <f t="shared" si="0"/>
      </c>
      <c r="H48">
        <f>H46-H47</f>
      </c>
      <c r="I48">
        <f t="shared" si="0"/>
      </c>
      <c r="J48">
        <f t="shared" si="0"/>
      </c>
      <c r="K48">
        <f t="shared" si="0"/>
      </c>
      <c r="L48">
        <f t="shared" si="0"/>
      </c>
      <c r="M48">
        <f t="shared" si="0"/>
      </c>
    </row>
  </sheetData>
  <mergeCells count="4">
    <mergeCell ref="B2:M2"/>
    <mergeCell ref="B3:M3"/>
    <mergeCell ref="A1:M1"/>
    <mergeCell ref="A5:XF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GSTR2A VS GSTR3B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Gajanand</dc:creator>
  <cp:lastModifiedBy>Gajanand</cp:lastModifiedBy>
  <dcterms:created xsi:type="dcterms:W3CDTF">2024-04-02T11:51:29Z</dcterms:created>
  <dcterms:modified xsi:type="dcterms:W3CDTF">2024-04-08T07:21:05Z</dcterms:modified>
</cp:coreProperties>
</file>