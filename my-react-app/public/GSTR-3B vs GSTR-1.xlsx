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5A41C20F-C369-4C2D-9402-30BA1E5C94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STR3B VS GSTR1" sheetId="3" r:id="rId1"/>
  </sheets>
  <definedNames>
    <definedName name="_xlnm.Print_Titles" localSheetId="0">'GSTR3B VS GSTR1'!$1:$6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9" i="3" l="1"/>
  <c r="N99" i="3"/>
  <c r="M99" i="3"/>
  <c r="L99" i="3"/>
  <c r="K99" i="3"/>
  <c r="J99" i="3"/>
  <c r="I99" i="3"/>
  <c r="H99" i="3"/>
  <c r="G99" i="3"/>
  <c r="F99" i="3"/>
  <c r="E99" i="3"/>
  <c r="D99" i="3"/>
  <c r="P98" i="3"/>
  <c r="P97" i="3"/>
  <c r="P99" i="3" s="1"/>
  <c r="O94" i="3"/>
  <c r="N94" i="3"/>
  <c r="M94" i="3"/>
  <c r="L94" i="3"/>
  <c r="K94" i="3"/>
  <c r="J94" i="3"/>
  <c r="I94" i="3"/>
  <c r="H94" i="3"/>
  <c r="G94" i="3"/>
  <c r="F94" i="3"/>
  <c r="E94" i="3"/>
  <c r="D94" i="3"/>
  <c r="P93" i="3"/>
  <c r="P92" i="3"/>
  <c r="P94" i="3" s="1"/>
  <c r="O90" i="3"/>
  <c r="N90" i="3"/>
  <c r="M90" i="3"/>
  <c r="L90" i="3"/>
  <c r="K90" i="3"/>
  <c r="J90" i="3"/>
  <c r="I90" i="3"/>
  <c r="H90" i="3"/>
  <c r="G90" i="3"/>
  <c r="F90" i="3"/>
  <c r="E90" i="3"/>
  <c r="D90" i="3"/>
  <c r="P89" i="3"/>
  <c r="P88" i="3"/>
  <c r="O86" i="3"/>
  <c r="N86" i="3"/>
  <c r="M86" i="3"/>
  <c r="L86" i="3"/>
  <c r="K86" i="3"/>
  <c r="J86" i="3"/>
  <c r="I86" i="3"/>
  <c r="H86" i="3"/>
  <c r="G86" i="3"/>
  <c r="F86" i="3"/>
  <c r="E86" i="3"/>
  <c r="D86" i="3"/>
  <c r="P85" i="3"/>
  <c r="P84" i="3"/>
  <c r="O82" i="3"/>
  <c r="N82" i="3"/>
  <c r="M82" i="3"/>
  <c r="L82" i="3"/>
  <c r="K82" i="3"/>
  <c r="J82" i="3"/>
  <c r="I82" i="3"/>
  <c r="H82" i="3"/>
  <c r="G82" i="3"/>
  <c r="F82" i="3"/>
  <c r="E82" i="3"/>
  <c r="D82" i="3"/>
  <c r="P81" i="3"/>
  <c r="P80" i="3"/>
  <c r="P79" i="3"/>
  <c r="O78" i="3"/>
  <c r="N78" i="3"/>
  <c r="M78" i="3"/>
  <c r="L78" i="3"/>
  <c r="K78" i="3"/>
  <c r="J78" i="3"/>
  <c r="I78" i="3"/>
  <c r="H78" i="3"/>
  <c r="G78" i="3"/>
  <c r="F78" i="3"/>
  <c r="E78" i="3"/>
  <c r="D78" i="3"/>
  <c r="P77" i="3"/>
  <c r="P76" i="3"/>
  <c r="P74" i="3"/>
  <c r="O73" i="3"/>
  <c r="N73" i="3"/>
  <c r="M73" i="3"/>
  <c r="L73" i="3"/>
  <c r="K73" i="3"/>
  <c r="J73" i="3"/>
  <c r="I73" i="3"/>
  <c r="H73" i="3"/>
  <c r="G73" i="3"/>
  <c r="F73" i="3"/>
  <c r="E73" i="3"/>
  <c r="D73" i="3"/>
  <c r="P72" i="3"/>
  <c r="P71" i="3"/>
  <c r="P73" i="3" s="1"/>
  <c r="O68" i="3"/>
  <c r="N68" i="3"/>
  <c r="M68" i="3"/>
  <c r="L68" i="3"/>
  <c r="K68" i="3"/>
  <c r="J68" i="3"/>
  <c r="I68" i="3"/>
  <c r="H68" i="3"/>
  <c r="G68" i="3"/>
  <c r="F68" i="3"/>
  <c r="E68" i="3"/>
  <c r="D68" i="3"/>
  <c r="P67" i="3"/>
  <c r="P66" i="3"/>
  <c r="P68" i="3" s="1"/>
  <c r="O64" i="3"/>
  <c r="N64" i="3"/>
  <c r="M64" i="3"/>
  <c r="L64" i="3"/>
  <c r="K64" i="3"/>
  <c r="J64" i="3"/>
  <c r="I64" i="3"/>
  <c r="H64" i="3"/>
  <c r="G64" i="3"/>
  <c r="F64" i="3"/>
  <c r="E64" i="3"/>
  <c r="D64" i="3"/>
  <c r="P63" i="3"/>
  <c r="P62" i="3"/>
  <c r="O60" i="3"/>
  <c r="N60" i="3"/>
  <c r="M60" i="3"/>
  <c r="L60" i="3"/>
  <c r="K60" i="3"/>
  <c r="J60" i="3"/>
  <c r="I60" i="3"/>
  <c r="H60" i="3"/>
  <c r="G60" i="3"/>
  <c r="F60" i="3"/>
  <c r="E60" i="3"/>
  <c r="D60" i="3"/>
  <c r="P59" i="3"/>
  <c r="P58" i="3"/>
  <c r="P57" i="3"/>
  <c r="P56" i="3"/>
  <c r="P55" i="3"/>
  <c r="P54" i="3"/>
  <c r="P53" i="3"/>
  <c r="P52" i="3"/>
  <c r="O49" i="3"/>
  <c r="N49" i="3"/>
  <c r="M49" i="3"/>
  <c r="L49" i="3"/>
  <c r="K49" i="3"/>
  <c r="J49" i="3"/>
  <c r="I49" i="3"/>
  <c r="H49" i="3"/>
  <c r="G49" i="3"/>
  <c r="F49" i="3"/>
  <c r="E49" i="3"/>
  <c r="D49" i="3"/>
  <c r="P48" i="3"/>
  <c r="P47" i="3"/>
  <c r="P46" i="3"/>
  <c r="P45" i="3"/>
  <c r="P44" i="3"/>
  <c r="O42" i="3"/>
  <c r="N42" i="3"/>
  <c r="M42" i="3"/>
  <c r="L42" i="3"/>
  <c r="K42" i="3"/>
  <c r="J42" i="3"/>
  <c r="I42" i="3"/>
  <c r="H42" i="3"/>
  <c r="G42" i="3"/>
  <c r="F42" i="3"/>
  <c r="E42" i="3"/>
  <c r="D42" i="3"/>
  <c r="P41" i="3"/>
  <c r="P40" i="3"/>
  <c r="P39" i="3"/>
  <c r="P38" i="3"/>
  <c r="P37" i="3"/>
  <c r="O35" i="3"/>
  <c r="N35" i="3"/>
  <c r="M35" i="3"/>
  <c r="L35" i="3"/>
  <c r="K35" i="3"/>
  <c r="J35" i="3"/>
  <c r="I35" i="3"/>
  <c r="H35" i="3"/>
  <c r="G35" i="3"/>
  <c r="F35" i="3"/>
  <c r="E35" i="3"/>
  <c r="D35" i="3"/>
  <c r="P34" i="3"/>
  <c r="P33" i="3"/>
  <c r="P32" i="3"/>
  <c r="P31" i="3"/>
  <c r="P30" i="3"/>
  <c r="O28" i="3"/>
  <c r="N28" i="3"/>
  <c r="M28" i="3"/>
  <c r="L28" i="3"/>
  <c r="K28" i="3"/>
  <c r="J28" i="3"/>
  <c r="I28" i="3"/>
  <c r="H28" i="3"/>
  <c r="G28" i="3"/>
  <c r="F28" i="3"/>
  <c r="E28" i="3"/>
  <c r="D28" i="3"/>
  <c r="P27" i="3"/>
  <c r="P26" i="3"/>
  <c r="P25" i="3"/>
  <c r="P24" i="3"/>
  <c r="P23" i="3"/>
  <c r="P22" i="3"/>
  <c r="P21" i="3"/>
  <c r="P20" i="3"/>
  <c r="P19" i="3"/>
  <c r="O17" i="3"/>
  <c r="N17" i="3"/>
  <c r="M17" i="3"/>
  <c r="L17" i="3"/>
  <c r="K17" i="3"/>
  <c r="J17" i="3"/>
  <c r="I17" i="3"/>
  <c r="H17" i="3"/>
  <c r="G17" i="3"/>
  <c r="F17" i="3"/>
  <c r="E17" i="3"/>
  <c r="D17" i="3"/>
  <c r="P16" i="3"/>
  <c r="P15" i="3"/>
  <c r="P14" i="3"/>
  <c r="P13" i="3"/>
  <c r="P12" i="3"/>
  <c r="P11" i="3"/>
  <c r="P10" i="3"/>
  <c r="P9" i="3"/>
  <c r="P8" i="3"/>
  <c r="P86" i="3" l="1"/>
  <c r="P35" i="3"/>
  <c r="P90" i="3"/>
  <c r="P60" i="3"/>
  <c r="P78" i="3"/>
  <c r="P64" i="3"/>
  <c r="P82" i="3"/>
  <c r="P17" i="3"/>
  <c r="P42" i="3"/>
  <c r="P28" i="3"/>
  <c r="P49" i="3"/>
</calcChain>
</file>

<file path=xl/sharedStrings.xml><?xml version="1.0" encoding="utf-8"?>
<sst xmlns="http://schemas.openxmlformats.org/spreadsheetml/2006/main" count="165" uniqueCount="49">
  <si>
    <t>Section</t>
  </si>
  <si>
    <t>Type</t>
  </si>
  <si>
    <t>Total</t>
  </si>
  <si>
    <t>Outward taxable supplies (other than zero rated)</t>
  </si>
  <si>
    <t>R3B: 3.1.A Outward taxable supplies (excluding zero rated)</t>
  </si>
  <si>
    <t>Taxable Value</t>
  </si>
  <si>
    <t>R1: B2B Invoices</t>
  </si>
  <si>
    <t>R1: B2CL Invoices</t>
  </si>
  <si>
    <t>R1: B2B Credit Notes</t>
  </si>
  <si>
    <t>R1: B2CL Credit Notes</t>
  </si>
  <si>
    <t>R1: B2B Credit Notes Amendments</t>
  </si>
  <si>
    <t>R1: B2CS</t>
  </si>
  <si>
    <t>Difference</t>
  </si>
  <si>
    <t>Outward taxable supplies (zero-rated)</t>
  </si>
  <si>
    <t>R3B: 3.1.B Outward taxable supplies (zero rated)</t>
  </si>
  <si>
    <t>R1: SEZ-WOP Invoices</t>
  </si>
  <si>
    <t>R1: EXP-WOP Invoices</t>
  </si>
  <si>
    <t>R1: SEZ-WP Invoices</t>
  </si>
  <si>
    <t>R1: EXP-WOP Credit Notes</t>
  </si>
  <si>
    <t>R1: SEZ-WOP Credit Notes</t>
  </si>
  <si>
    <t>Other outward supplies (nil-rated, exempted)</t>
  </si>
  <si>
    <t>Non-GST outward supplies</t>
  </si>
  <si>
    <t>CESS</t>
  </si>
  <si>
    <t>R3B: 3.1.C Other outward supplies (nil-rated, exempted)</t>
  </si>
  <si>
    <t>R1 : Nil Rated and Exempted</t>
  </si>
  <si>
    <t>IGST</t>
  </si>
  <si>
    <t>CGST</t>
  </si>
  <si>
    <t>SGST</t>
  </si>
  <si>
    <t>Inward supplies (liable to reverse charges)</t>
  </si>
  <si>
    <t>R3B: 3.1.D Inward supplies (liable to reverse charges)</t>
  </si>
  <si>
    <t>R2 : Reverse charge</t>
  </si>
  <si>
    <t>R1 : Non GST Amount</t>
  </si>
  <si>
    <t>GSTIN</t>
  </si>
  <si>
    <t>Financial Year</t>
  </si>
  <si>
    <t xml:space="preserve">R3B: 3.1.E Non-GST outward supplies </t>
  </si>
  <si>
    <t>R1:B2B Debit Notes</t>
  </si>
  <si>
    <t>R1: B2B dedit Notes Amendments</t>
  </si>
  <si>
    <t>R1: B2B Dedit Notes</t>
  </si>
  <si>
    <t>R1: B2B Dedit Amendments</t>
  </si>
  <si>
    <t>R1: B2B Debit Notes</t>
  </si>
  <si>
    <t>R1:EXP-WP Debit Notes</t>
  </si>
  <si>
    <t>R1:EXP-WOP Debit Notes</t>
  </si>
  <si>
    <t>LAVI INDIA INDUSTRIES</t>
  </si>
  <si>
    <t>09CMIPR8447Q2ZS</t>
  </si>
  <si>
    <t>2024-25</t>
  </si>
  <si>
    <t>Name</t>
  </si>
  <si>
    <t>Legal Name</t>
  </si>
  <si>
    <t>RUBEENA</t>
  </si>
  <si>
    <t>GSTR-3B vs GSTR-1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</si>
</sst>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BDD7EE"/>
      </patternFill>
    </fill>
    <fill>
      <patternFill patternType="solid">
        <fgColor rgb="FFD7D7D7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3" borderId="0"/>
    <xf numFmtId="0" fontId="3" fillId="4" borderId="0"/>
    <xf numFmtId="164" fontId="3" fillId="4" borderId="0"/>
  </cellStyleXfs>
  <cellXfs count="30">
    <xf numFmtId="0" fontId="0" fillId="0" borderId="0" xfId="0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3" borderId="0" xfId="2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7" fontId="7" fillId="2" borderId="1" xfId="1" applyNumberFormat="1" applyFont="1" applyFill="1" applyBorder="1" applyAlignment="1">
      <alignment horizontal="center" vertical="center"/>
    </xf>
    <xf numFmtId="0" fontId="7" fillId="2" borderId="1" xfId="1" applyNumberFormat="1" applyFont="1" applyFill="1" applyBorder="1" applyAlignment="1">
      <alignment horizontal="center" vertical="center"/>
    </xf>
    <xf numFmtId="0" fontId="4" fillId="3" borderId="1" xfId="2" applyFont="1" applyBorder="1" applyAlignment="1">
      <alignment horizontal="center" vertical="center"/>
    </xf>
    <xf numFmtId="0" fontId="4" fillId="3" borderId="1" xfId="2" applyFont="1" applyBorder="1" applyAlignment="1">
      <alignment vertical="center"/>
    </xf>
    <xf numFmtId="0" fontId="6" fillId="3" borderId="1" xfId="2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4" fillId="4" borderId="1" xfId="3" applyFont="1" applyBorder="1" applyAlignment="1">
      <alignment vertical="center" wrapText="1"/>
    </xf>
    <xf numFmtId="0" fontId="4" fillId="4" borderId="1" xfId="3" applyFont="1" applyBorder="1" applyAlignment="1">
      <alignment vertical="center"/>
    </xf>
    <xf numFmtId="0" fontId="4" fillId="0" borderId="1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/>
    </xf>
    <xf numFmtId="0" fontId="4" fillId="3" borderId="1" xfId="2" applyFont="1" applyBorder="1" applyAlignment="1">
      <alignment horizontal="left" vertical="center"/>
    </xf>
    <xf numFmtId="164" fontId="6" fillId="0" borderId="1" xfId="1" applyFont="1" applyFill="1" applyBorder="1" applyAlignment="1">
      <alignment vertical="center"/>
    </xf>
    <xf numFmtId="164" fontId="6" fillId="4" borderId="1" xfId="1" applyFont="1" applyFill="1" applyBorder="1" applyAlignment="1">
      <alignment vertical="center"/>
    </xf>
    <xf numFmtId="164" fontId="6" fillId="0" borderId="1" xfId="1" applyFont="1" applyBorder="1" applyAlignment="1">
      <alignment vertical="center"/>
    </xf>
    <xf numFmtId="164" fontId="6" fillId="3" borderId="1" xfId="1" applyFont="1" applyFill="1" applyBorder="1" applyAlignment="1">
      <alignment vertical="center"/>
    </xf>
    <xf numFmtId="164" fontId="6" fillId="0" borderId="0" xfId="1" applyFont="1" applyAlignment="1">
      <alignment vertical="center"/>
    </xf>
  </cellXfs>
  <cellStyles count="5">
    <cellStyle name="Comma" xfId="1" builtinId="3"/>
    <cellStyle name="Diff Heading" xfId="3" xr:uid="{00000000-0005-0000-0000-000001000000}"/>
    <cellStyle name="Diff Value" xfId="4" xr:uid="{00000000-0005-0000-0000-000002000000}"/>
    <cellStyle name="Group" xfId="2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0"/>
  <sheetViews>
    <sheetView tabSelected="1" workbookViewId="0">
      <pane ySplit="6" topLeftCell="A7" activePane="bottomLeft" state="frozen"/>
      <selection pane="bottomLeft" activeCell="I12" sqref="I12"/>
    </sheetView>
  </sheetViews>
  <sheetFormatPr defaultColWidth="0" defaultRowHeight="15.6" x14ac:dyDescent="0.3"/>
  <cols>
    <col min="1" max="1" width="2.109375" style="6" bestFit="1" customWidth="1"/>
    <col min="2" max="2" width="26.88671875" style="10" customWidth="1"/>
    <col min="3" max="3" width="14.21875" style="7" bestFit="1" customWidth="1"/>
    <col min="4" max="10" width="13.88671875" style="29" bestFit="1" customWidth="1"/>
    <col min="11" max="11" width="12.109375" style="29" bestFit="1" customWidth="1"/>
    <col min="12" max="15" width="13.88671875" style="29" bestFit="1" customWidth="1"/>
    <col min="16" max="16" width="15" style="29" bestFit="1" customWidth="1"/>
    <col min="17" max="16384" width="8.6640625" style="7" hidden="1"/>
  </cols>
  <sheetData>
    <row r="1" spans="1:16" s="7" customFormat="1" ht="18" x14ac:dyDescent="0.3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s="7" customFormat="1" x14ac:dyDescent="0.3">
      <c r="A2" s="4">
        <v>1</v>
      </c>
      <c r="B2" s="8" t="s">
        <v>45</v>
      </c>
      <c r="C2" s="8"/>
      <c r="D2" s="8" t="s">
        <v>42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s="7" customFormat="1" x14ac:dyDescent="0.3">
      <c r="A3" s="4">
        <v>2</v>
      </c>
      <c r="B3" s="8" t="s">
        <v>46</v>
      </c>
      <c r="C3" s="8"/>
      <c r="D3" s="8" t="s">
        <v>47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s="7" customFormat="1" x14ac:dyDescent="0.3">
      <c r="A4" s="4">
        <v>3</v>
      </c>
      <c r="B4" s="8" t="s">
        <v>32</v>
      </c>
      <c r="C4" s="8"/>
      <c r="D4" s="8" t="s">
        <v>43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s="7" customFormat="1" x14ac:dyDescent="0.3">
      <c r="A5" s="4">
        <v>4</v>
      </c>
      <c r="B5" s="8" t="s">
        <v>33</v>
      </c>
      <c r="C5" s="8"/>
      <c r="D5" s="8" t="s">
        <v>44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s="7" customFormat="1" x14ac:dyDescent="0.3">
      <c r="A6" s="5"/>
      <c r="B6" s="11" t="s">
        <v>0</v>
      </c>
      <c r="C6" s="12" t="s">
        <v>1</v>
      </c>
      <c r="D6" s="13">
        <v>45383</v>
      </c>
      <c r="E6" s="13">
        <v>45413</v>
      </c>
      <c r="F6" s="13">
        <v>45444</v>
      </c>
      <c r="G6" s="13">
        <v>45474</v>
      </c>
      <c r="H6" s="13">
        <v>45505</v>
      </c>
      <c r="I6" s="13">
        <v>45536</v>
      </c>
      <c r="J6" s="13">
        <v>45566</v>
      </c>
      <c r="K6" s="13">
        <v>45597</v>
      </c>
      <c r="L6" s="13">
        <v>45627</v>
      </c>
      <c r="M6" s="13">
        <v>45658</v>
      </c>
      <c r="N6" s="13">
        <v>45689</v>
      </c>
      <c r="O6" s="13">
        <v>45717</v>
      </c>
      <c r="P6" s="14" t="s">
        <v>2</v>
      </c>
    </row>
    <row r="7" spans="1:16" s="7" customFormat="1" x14ac:dyDescent="0.3">
      <c r="A7" s="9">
        <v>1</v>
      </c>
      <c r="B7" s="15" t="s">
        <v>3</v>
      </c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16" s="7" customFormat="1" ht="46.8" x14ac:dyDescent="0.3">
      <c r="A8" s="6"/>
      <c r="B8" s="18" t="s">
        <v>4</v>
      </c>
      <c r="C8" s="19" t="s">
        <v>5</v>
      </c>
      <c r="D8" s="25">
        <v>1363557.32</v>
      </c>
      <c r="E8" s="25">
        <v>1273132.99</v>
      </c>
      <c r="F8" s="25">
        <v>2588385.85</v>
      </c>
      <c r="G8" s="25">
        <v>1619512.34</v>
      </c>
      <c r="H8" s="25">
        <v>1196552.6000000001</v>
      </c>
      <c r="I8" s="25">
        <v>1066272.3999999999</v>
      </c>
      <c r="J8" s="25">
        <v>1144881.3400000001</v>
      </c>
      <c r="K8" s="25">
        <v>849063</v>
      </c>
      <c r="L8" s="25">
        <v>3426999.6</v>
      </c>
      <c r="M8" s="25">
        <v>2693976.3</v>
      </c>
      <c r="N8" s="25">
        <v>2222257.08</v>
      </c>
      <c r="O8" s="25">
        <v>2446589.92</v>
      </c>
      <c r="P8" s="25">
        <f>SUM(D8:O8)</f>
        <v>21891180.740000002</v>
      </c>
    </row>
    <row r="9" spans="1:16" s="7" customFormat="1" x14ac:dyDescent="0.3">
      <c r="A9" s="6"/>
      <c r="B9" s="18" t="s">
        <v>6</v>
      </c>
      <c r="C9" s="19" t="s">
        <v>5</v>
      </c>
      <c r="D9" s="25">
        <v>1360457.72</v>
      </c>
      <c r="E9" s="25">
        <v>1267851.28</v>
      </c>
      <c r="F9" s="25">
        <v>2588385.85</v>
      </c>
      <c r="G9" s="25">
        <v>1484501.34</v>
      </c>
      <c r="H9" s="25">
        <v>1196552.6000000001</v>
      </c>
      <c r="I9" s="25">
        <v>1062195</v>
      </c>
      <c r="J9" s="25">
        <v>1144881.3400000001</v>
      </c>
      <c r="K9" s="25">
        <v>844075</v>
      </c>
      <c r="L9" s="25">
        <v>3426999.6</v>
      </c>
      <c r="M9" s="25">
        <v>2689677.92</v>
      </c>
      <c r="N9" s="25">
        <v>2212536.2799999998</v>
      </c>
      <c r="O9" s="25">
        <v>2306475.92</v>
      </c>
      <c r="P9" s="25">
        <f t="shared" ref="P9:P81" si="0">SUM(D9:O9)</f>
        <v>21584589.850000001</v>
      </c>
    </row>
    <row r="10" spans="1:16" s="7" customFormat="1" x14ac:dyDescent="0.3">
      <c r="A10" s="6"/>
      <c r="B10" s="18" t="s">
        <v>7</v>
      </c>
      <c r="C10" s="19" t="s">
        <v>5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f t="shared" si="0"/>
        <v>0</v>
      </c>
    </row>
    <row r="11" spans="1:16" s="7" customFormat="1" x14ac:dyDescent="0.3">
      <c r="A11" s="6"/>
      <c r="B11" s="18" t="s">
        <v>35</v>
      </c>
      <c r="C11" s="19" t="s">
        <v>5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f>SUM(D11:O11)</f>
        <v>0</v>
      </c>
    </row>
    <row r="12" spans="1:16" s="7" customFormat="1" ht="31.2" x14ac:dyDescent="0.3">
      <c r="A12" s="6"/>
      <c r="B12" s="18" t="s">
        <v>36</v>
      </c>
      <c r="C12" s="19" t="s">
        <v>5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f>SUM(D12:O12)</f>
        <v>0</v>
      </c>
    </row>
    <row r="13" spans="1:16" s="7" customFormat="1" x14ac:dyDescent="0.3">
      <c r="A13" s="6"/>
      <c r="B13" s="18" t="s">
        <v>8</v>
      </c>
      <c r="C13" s="19" t="s">
        <v>5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160011</v>
      </c>
      <c r="P13" s="25">
        <f t="shared" si="0"/>
        <v>160011</v>
      </c>
    </row>
    <row r="14" spans="1:16" s="7" customFormat="1" x14ac:dyDescent="0.3">
      <c r="A14" s="6"/>
      <c r="B14" s="18" t="s">
        <v>9</v>
      </c>
      <c r="C14" s="19" t="s">
        <v>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f t="shared" si="0"/>
        <v>0</v>
      </c>
    </row>
    <row r="15" spans="1:16" s="7" customFormat="1" ht="31.2" x14ac:dyDescent="0.3">
      <c r="A15" s="6"/>
      <c r="B15" s="18" t="s">
        <v>10</v>
      </c>
      <c r="C15" s="19" t="s">
        <v>5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f t="shared" si="0"/>
        <v>0</v>
      </c>
    </row>
    <row r="16" spans="1:16" s="7" customFormat="1" x14ac:dyDescent="0.3">
      <c r="A16" s="6"/>
      <c r="B16" s="18" t="s">
        <v>11</v>
      </c>
      <c r="C16" s="19" t="s">
        <v>5</v>
      </c>
      <c r="D16" s="25">
        <v>3099.6</v>
      </c>
      <c r="E16" s="25">
        <v>5281.71</v>
      </c>
      <c r="F16" s="25">
        <v>0</v>
      </c>
      <c r="G16" s="25">
        <v>0</v>
      </c>
      <c r="H16" s="25">
        <v>0</v>
      </c>
      <c r="I16" s="25">
        <v>4077.4</v>
      </c>
      <c r="J16" s="25">
        <v>0</v>
      </c>
      <c r="K16" s="25">
        <v>4988</v>
      </c>
      <c r="L16" s="25">
        <v>0</v>
      </c>
      <c r="M16" s="25">
        <v>4298.38</v>
      </c>
      <c r="N16" s="25">
        <v>9720.7999999999993</v>
      </c>
      <c r="O16" s="25">
        <v>0</v>
      </c>
      <c r="P16" s="25">
        <f t="shared" si="0"/>
        <v>31465.89</v>
      </c>
    </row>
    <row r="17" spans="1:16" s="7" customFormat="1" x14ac:dyDescent="0.3">
      <c r="A17" s="6"/>
      <c r="B17" s="20" t="s">
        <v>12</v>
      </c>
      <c r="C17" s="21" t="s">
        <v>5</v>
      </c>
      <c r="D17" s="26">
        <f t="shared" ref="D17:I17" si="1">D8-(D9+D10+D11+D12-D13-D14-D15+D16)</f>
        <v>0</v>
      </c>
      <c r="E17" s="26">
        <f t="shared" si="1"/>
        <v>0</v>
      </c>
      <c r="F17" s="26">
        <f t="shared" si="1"/>
        <v>0</v>
      </c>
      <c r="G17" s="26">
        <f t="shared" si="1"/>
        <v>135011</v>
      </c>
      <c r="H17" s="26">
        <f t="shared" si="1"/>
        <v>0</v>
      </c>
      <c r="I17" s="26">
        <f t="shared" si="1"/>
        <v>0</v>
      </c>
      <c r="J17" s="26">
        <f>J8-(J9+J10+I11+I12-J13-J14-J15+J16)</f>
        <v>0</v>
      </c>
      <c r="K17" s="26">
        <f t="shared" ref="K17:P17" si="2">K8-(K9+K10+K11+K12-K13-K14-K15+K16)</f>
        <v>0</v>
      </c>
      <c r="L17" s="26">
        <f t="shared" si="2"/>
        <v>0</v>
      </c>
      <c r="M17" s="26">
        <f t="shared" si="2"/>
        <v>0</v>
      </c>
      <c r="N17" s="26">
        <f t="shared" si="2"/>
        <v>0</v>
      </c>
      <c r="O17" s="26">
        <f t="shared" si="2"/>
        <v>300125</v>
      </c>
      <c r="P17" s="26">
        <f t="shared" si="2"/>
        <v>435136</v>
      </c>
    </row>
    <row r="18" spans="1:16" s="7" customFormat="1" x14ac:dyDescent="0.3">
      <c r="A18" s="6"/>
      <c r="B18" s="18"/>
      <c r="C18" s="19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5"/>
    </row>
    <row r="19" spans="1:16" s="7" customFormat="1" ht="46.8" x14ac:dyDescent="0.3">
      <c r="A19" s="6"/>
      <c r="B19" s="18" t="s">
        <v>4</v>
      </c>
      <c r="C19" s="19" t="s">
        <v>25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7028.1</v>
      </c>
      <c r="J19" s="25">
        <v>9855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f t="shared" si="0"/>
        <v>16883.099999999999</v>
      </c>
    </row>
    <row r="20" spans="1:16" s="7" customFormat="1" x14ac:dyDescent="0.3">
      <c r="A20" s="6"/>
      <c r="B20" s="18" t="s">
        <v>6</v>
      </c>
      <c r="C20" s="19" t="s">
        <v>25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7028.1</v>
      </c>
      <c r="J20" s="25">
        <v>9855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f t="shared" si="0"/>
        <v>16883.099999999999</v>
      </c>
    </row>
    <row r="21" spans="1:16" s="7" customFormat="1" x14ac:dyDescent="0.3">
      <c r="A21" s="6"/>
      <c r="B21" s="18" t="s">
        <v>7</v>
      </c>
      <c r="C21" s="19" t="s">
        <v>25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f t="shared" si="0"/>
        <v>0</v>
      </c>
    </row>
    <row r="22" spans="1:16" s="7" customFormat="1" x14ac:dyDescent="0.3">
      <c r="A22" s="6"/>
      <c r="B22" s="18" t="s">
        <v>37</v>
      </c>
      <c r="C22" s="19" t="s">
        <v>25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f>SUM(D22:O22)</f>
        <v>0</v>
      </c>
    </row>
    <row r="23" spans="1:16" s="7" customFormat="1" ht="31.2" x14ac:dyDescent="0.3">
      <c r="A23" s="6"/>
      <c r="B23" s="18" t="s">
        <v>38</v>
      </c>
      <c r="C23" s="19" t="s">
        <v>25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f>SUM(D23:O23)</f>
        <v>0</v>
      </c>
    </row>
    <row r="24" spans="1:16" s="7" customFormat="1" x14ac:dyDescent="0.3">
      <c r="A24" s="6"/>
      <c r="B24" s="18" t="s">
        <v>8</v>
      </c>
      <c r="C24" s="19" t="s">
        <v>25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f t="shared" si="0"/>
        <v>0</v>
      </c>
    </row>
    <row r="25" spans="1:16" s="7" customFormat="1" x14ac:dyDescent="0.3">
      <c r="A25" s="6"/>
      <c r="B25" s="18" t="s">
        <v>9</v>
      </c>
      <c r="C25" s="19" t="s">
        <v>25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f t="shared" si="0"/>
        <v>0</v>
      </c>
    </row>
    <row r="26" spans="1:16" s="7" customFormat="1" ht="31.2" x14ac:dyDescent="0.3">
      <c r="A26" s="6"/>
      <c r="B26" s="18" t="s">
        <v>10</v>
      </c>
      <c r="C26" s="19" t="s">
        <v>25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f t="shared" si="0"/>
        <v>0</v>
      </c>
    </row>
    <row r="27" spans="1:16" s="7" customFormat="1" x14ac:dyDescent="0.3">
      <c r="A27" s="6"/>
      <c r="B27" s="18" t="s">
        <v>11</v>
      </c>
      <c r="C27" s="19" t="s">
        <v>25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f t="shared" si="0"/>
        <v>0</v>
      </c>
    </row>
    <row r="28" spans="1:16" s="7" customFormat="1" x14ac:dyDescent="0.3">
      <c r="A28" s="6"/>
      <c r="B28" s="20" t="s">
        <v>12</v>
      </c>
      <c r="C28" s="21" t="s">
        <v>25</v>
      </c>
      <c r="D28" s="26">
        <f t="shared" ref="D28:P28" si="3">D19-(D20+D21+D22+D23-D24-D25-D26+D27)</f>
        <v>0</v>
      </c>
      <c r="E28" s="26">
        <f t="shared" si="3"/>
        <v>0</v>
      </c>
      <c r="F28" s="26">
        <f t="shared" si="3"/>
        <v>0</v>
      </c>
      <c r="G28" s="26">
        <f t="shared" si="3"/>
        <v>0</v>
      </c>
      <c r="H28" s="26">
        <f t="shared" si="3"/>
        <v>0</v>
      </c>
      <c r="I28" s="26">
        <f t="shared" si="3"/>
        <v>0</v>
      </c>
      <c r="J28" s="26">
        <f t="shared" si="3"/>
        <v>0</v>
      </c>
      <c r="K28" s="26">
        <f t="shared" si="3"/>
        <v>0</v>
      </c>
      <c r="L28" s="26">
        <f t="shared" si="3"/>
        <v>0</v>
      </c>
      <c r="M28" s="26">
        <f t="shared" si="3"/>
        <v>0</v>
      </c>
      <c r="N28" s="26">
        <f t="shared" si="3"/>
        <v>0</v>
      </c>
      <c r="O28" s="26">
        <f t="shared" si="3"/>
        <v>0</v>
      </c>
      <c r="P28" s="26">
        <f t="shared" si="3"/>
        <v>0</v>
      </c>
    </row>
    <row r="29" spans="1:16" s="7" customFormat="1" x14ac:dyDescent="0.3">
      <c r="A29" s="6"/>
      <c r="B29" s="18"/>
      <c r="C29" s="19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5"/>
    </row>
    <row r="30" spans="1:16" s="7" customFormat="1" ht="46.8" x14ac:dyDescent="0.3">
      <c r="A30" s="6"/>
      <c r="B30" s="18" t="s">
        <v>4</v>
      </c>
      <c r="C30" s="19" t="s">
        <v>26</v>
      </c>
      <c r="D30" s="25">
        <v>122720.17</v>
      </c>
      <c r="E30" s="25">
        <v>114581.99</v>
      </c>
      <c r="F30" s="25">
        <v>232954.74</v>
      </c>
      <c r="G30" s="25">
        <v>145756.12</v>
      </c>
      <c r="H30" s="25">
        <v>107689.74</v>
      </c>
      <c r="I30" s="25">
        <v>92450.49</v>
      </c>
      <c r="J30" s="25">
        <v>98111.83</v>
      </c>
      <c r="K30" s="25">
        <v>76415.67</v>
      </c>
      <c r="L30" s="25">
        <v>308429.98</v>
      </c>
      <c r="M30" s="25">
        <v>242457.87</v>
      </c>
      <c r="N30" s="25">
        <v>200003.17</v>
      </c>
      <c r="O30" s="25">
        <v>211189.37</v>
      </c>
      <c r="P30" s="25">
        <f t="shared" si="0"/>
        <v>1952761.1400000001</v>
      </c>
    </row>
    <row r="31" spans="1:16" s="7" customFormat="1" x14ac:dyDescent="0.3">
      <c r="A31" s="6"/>
      <c r="B31" s="18" t="s">
        <v>6</v>
      </c>
      <c r="C31" s="19" t="s">
        <v>26</v>
      </c>
      <c r="D31" s="25">
        <v>122441.21</v>
      </c>
      <c r="E31" s="25">
        <v>114106.63</v>
      </c>
      <c r="F31" s="25">
        <v>232954.74</v>
      </c>
      <c r="G31" s="25">
        <v>133605.13</v>
      </c>
      <c r="H31" s="25">
        <v>107689.74</v>
      </c>
      <c r="I31" s="25">
        <v>92083.51</v>
      </c>
      <c r="J31" s="25">
        <v>98111.83</v>
      </c>
      <c r="K31" s="25">
        <v>75966.75</v>
      </c>
      <c r="L31" s="25">
        <v>308429.98</v>
      </c>
      <c r="M31" s="25">
        <v>242071.02</v>
      </c>
      <c r="N31" s="25">
        <v>199128.29</v>
      </c>
      <c r="O31" s="25">
        <v>207582.86</v>
      </c>
      <c r="P31" s="25">
        <f t="shared" si="0"/>
        <v>1934171.69</v>
      </c>
    </row>
    <row r="32" spans="1:16" s="7" customFormat="1" x14ac:dyDescent="0.3">
      <c r="A32" s="6"/>
      <c r="B32" s="18" t="s">
        <v>39</v>
      </c>
      <c r="C32" s="19" t="s">
        <v>26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f>SUM(D32:O32)</f>
        <v>0</v>
      </c>
    </row>
    <row r="33" spans="1:16" s="7" customFormat="1" x14ac:dyDescent="0.3">
      <c r="A33" s="6"/>
      <c r="B33" s="18" t="s">
        <v>8</v>
      </c>
      <c r="C33" s="19" t="s">
        <v>26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14400.99</v>
      </c>
      <c r="P33" s="25">
        <f t="shared" si="0"/>
        <v>14400.99</v>
      </c>
    </row>
    <row r="34" spans="1:16" s="7" customFormat="1" x14ac:dyDescent="0.3">
      <c r="A34" s="6"/>
      <c r="B34" s="18" t="s">
        <v>11</v>
      </c>
      <c r="C34" s="19" t="s">
        <v>26</v>
      </c>
      <c r="D34" s="25">
        <v>278.95999999999998</v>
      </c>
      <c r="E34" s="25">
        <v>475.36</v>
      </c>
      <c r="F34" s="25">
        <v>0</v>
      </c>
      <c r="G34" s="25">
        <v>0</v>
      </c>
      <c r="H34" s="25">
        <v>0</v>
      </c>
      <c r="I34" s="25">
        <v>366.98</v>
      </c>
      <c r="J34" s="25">
        <v>0</v>
      </c>
      <c r="K34" s="25">
        <v>448.92</v>
      </c>
      <c r="L34" s="25">
        <v>0</v>
      </c>
      <c r="M34" s="25">
        <v>386.85</v>
      </c>
      <c r="N34" s="25">
        <v>874.88</v>
      </c>
      <c r="O34" s="25">
        <v>0</v>
      </c>
      <c r="P34" s="25">
        <f t="shared" si="0"/>
        <v>2831.9500000000003</v>
      </c>
    </row>
    <row r="35" spans="1:16" s="7" customFormat="1" x14ac:dyDescent="0.3">
      <c r="A35" s="6"/>
      <c r="B35" s="20" t="s">
        <v>12</v>
      </c>
      <c r="C35" s="21" t="s">
        <v>26</v>
      </c>
      <c r="D35" s="26">
        <f>D30-(D31+D32-D33+D34)</f>
        <v>0</v>
      </c>
      <c r="E35" s="26">
        <f>E30-(E31+D32-E33+E34)</f>
        <v>0</v>
      </c>
      <c r="F35" s="26">
        <f t="shared" ref="F35:P35" si="4">F30-(F31+F32-F33+F34)</f>
        <v>0</v>
      </c>
      <c r="G35" s="26">
        <f t="shared" si="4"/>
        <v>12150.989999999991</v>
      </c>
      <c r="H35" s="26">
        <f t="shared" si="4"/>
        <v>0</v>
      </c>
      <c r="I35" s="26">
        <f t="shared" si="4"/>
        <v>0</v>
      </c>
      <c r="J35" s="26">
        <f t="shared" si="4"/>
        <v>0</v>
      </c>
      <c r="K35" s="26">
        <f t="shared" si="4"/>
        <v>0</v>
      </c>
      <c r="L35" s="26">
        <f t="shared" si="4"/>
        <v>0</v>
      </c>
      <c r="M35" s="26">
        <f t="shared" si="4"/>
        <v>0</v>
      </c>
      <c r="N35" s="26">
        <f t="shared" si="4"/>
        <v>0</v>
      </c>
      <c r="O35" s="26">
        <f t="shared" si="4"/>
        <v>18007.5</v>
      </c>
      <c r="P35" s="26">
        <f t="shared" si="4"/>
        <v>30158.490000000224</v>
      </c>
    </row>
    <row r="36" spans="1:16" s="7" customFormat="1" x14ac:dyDescent="0.3">
      <c r="A36" s="6"/>
      <c r="B36" s="18"/>
      <c r="C36" s="19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5"/>
    </row>
    <row r="37" spans="1:16" s="7" customFormat="1" ht="46.8" x14ac:dyDescent="0.3">
      <c r="A37" s="6"/>
      <c r="B37" s="18" t="s">
        <v>4</v>
      </c>
      <c r="C37" s="19" t="s">
        <v>27</v>
      </c>
      <c r="D37" s="25">
        <v>122720.17</v>
      </c>
      <c r="E37" s="25">
        <v>114581.99</v>
      </c>
      <c r="F37" s="25">
        <v>232954.74</v>
      </c>
      <c r="G37" s="25">
        <v>145756.12</v>
      </c>
      <c r="H37" s="25">
        <v>107689.74</v>
      </c>
      <c r="I37" s="25">
        <v>92450.49</v>
      </c>
      <c r="J37" s="25">
        <v>98111.83</v>
      </c>
      <c r="K37" s="25">
        <v>76415.67</v>
      </c>
      <c r="L37" s="25">
        <v>308429.98</v>
      </c>
      <c r="M37" s="25">
        <v>242457.87</v>
      </c>
      <c r="N37" s="25">
        <v>200003.17</v>
      </c>
      <c r="O37" s="25">
        <v>211189.37</v>
      </c>
      <c r="P37" s="25">
        <f t="shared" si="0"/>
        <v>1952761.1400000001</v>
      </c>
    </row>
    <row r="38" spans="1:16" s="7" customFormat="1" x14ac:dyDescent="0.3">
      <c r="A38" s="6"/>
      <c r="B38" s="18" t="s">
        <v>6</v>
      </c>
      <c r="C38" s="19" t="s">
        <v>27</v>
      </c>
      <c r="D38" s="25">
        <v>122441.21</v>
      </c>
      <c r="E38" s="25">
        <v>114106.63</v>
      </c>
      <c r="F38" s="25">
        <v>232954.74</v>
      </c>
      <c r="G38" s="25">
        <v>133605.13</v>
      </c>
      <c r="H38" s="25">
        <v>107689.74</v>
      </c>
      <c r="I38" s="25">
        <v>92083.51</v>
      </c>
      <c r="J38" s="25">
        <v>98111.83</v>
      </c>
      <c r="K38" s="25">
        <v>75966.75</v>
      </c>
      <c r="L38" s="25">
        <v>308429.98</v>
      </c>
      <c r="M38" s="25">
        <v>242071.02</v>
      </c>
      <c r="N38" s="25">
        <v>199128.29</v>
      </c>
      <c r="O38" s="25">
        <v>207582.86</v>
      </c>
      <c r="P38" s="25">
        <f t="shared" si="0"/>
        <v>1934171.69</v>
      </c>
    </row>
    <row r="39" spans="1:16" s="7" customFormat="1" x14ac:dyDescent="0.3">
      <c r="A39" s="6"/>
      <c r="B39" s="18" t="s">
        <v>35</v>
      </c>
      <c r="C39" s="19" t="s">
        <v>27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f>SUM(D39:O39)</f>
        <v>0</v>
      </c>
    </row>
    <row r="40" spans="1:16" s="7" customFormat="1" x14ac:dyDescent="0.3">
      <c r="A40" s="6"/>
      <c r="B40" s="18" t="s">
        <v>8</v>
      </c>
      <c r="C40" s="19" t="s">
        <v>27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14400.99</v>
      </c>
      <c r="P40" s="25">
        <f t="shared" si="0"/>
        <v>14400.99</v>
      </c>
    </row>
    <row r="41" spans="1:16" s="7" customFormat="1" x14ac:dyDescent="0.3">
      <c r="A41" s="6"/>
      <c r="B41" s="18" t="s">
        <v>11</v>
      </c>
      <c r="C41" s="19" t="s">
        <v>27</v>
      </c>
      <c r="D41" s="25">
        <v>278.95999999999998</v>
      </c>
      <c r="E41" s="25">
        <v>475.36</v>
      </c>
      <c r="F41" s="25">
        <v>0</v>
      </c>
      <c r="G41" s="25">
        <v>0</v>
      </c>
      <c r="H41" s="25">
        <v>0</v>
      </c>
      <c r="I41" s="25">
        <v>366.98</v>
      </c>
      <c r="J41" s="25">
        <v>0</v>
      </c>
      <c r="K41" s="25">
        <v>448.92</v>
      </c>
      <c r="L41" s="25">
        <v>0</v>
      </c>
      <c r="M41" s="25">
        <v>386.85</v>
      </c>
      <c r="N41" s="25">
        <v>874.88</v>
      </c>
      <c r="O41" s="25">
        <v>0</v>
      </c>
      <c r="P41" s="25">
        <f t="shared" si="0"/>
        <v>2831.9500000000003</v>
      </c>
    </row>
    <row r="42" spans="1:16" s="7" customFormat="1" x14ac:dyDescent="0.3">
      <c r="A42" s="6"/>
      <c r="B42" s="20" t="s">
        <v>12</v>
      </c>
      <c r="C42" s="21" t="s">
        <v>27</v>
      </c>
      <c r="D42" s="26">
        <f t="shared" ref="D42:P42" si="5">D37-(D38+D39-D40+D41)</f>
        <v>0</v>
      </c>
      <c r="E42" s="26">
        <f t="shared" si="5"/>
        <v>0</v>
      </c>
      <c r="F42" s="26">
        <f t="shared" si="5"/>
        <v>0</v>
      </c>
      <c r="G42" s="26">
        <f t="shared" si="5"/>
        <v>12150.989999999991</v>
      </c>
      <c r="H42" s="26">
        <f t="shared" si="5"/>
        <v>0</v>
      </c>
      <c r="I42" s="26">
        <f t="shared" si="5"/>
        <v>0</v>
      </c>
      <c r="J42" s="26">
        <f t="shared" si="5"/>
        <v>0</v>
      </c>
      <c r="K42" s="26">
        <f t="shared" si="5"/>
        <v>0</v>
      </c>
      <c r="L42" s="26">
        <f t="shared" si="5"/>
        <v>0</v>
      </c>
      <c r="M42" s="26">
        <f t="shared" si="5"/>
        <v>0</v>
      </c>
      <c r="N42" s="26">
        <f t="shared" si="5"/>
        <v>0</v>
      </c>
      <c r="O42" s="26">
        <f t="shared" si="5"/>
        <v>18007.5</v>
      </c>
      <c r="P42" s="26">
        <f t="shared" si="5"/>
        <v>30158.490000000224</v>
      </c>
    </row>
    <row r="43" spans="1:16" s="7" customFormat="1" x14ac:dyDescent="0.3">
      <c r="A43" s="6"/>
      <c r="B43" s="22"/>
      <c r="C43" s="23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spans="1:16" s="7" customFormat="1" ht="46.8" x14ac:dyDescent="0.3">
      <c r="A44" s="6"/>
      <c r="B44" s="18" t="s">
        <v>4</v>
      </c>
      <c r="C44" s="19" t="s">
        <v>22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f t="shared" si="0"/>
        <v>0</v>
      </c>
    </row>
    <row r="45" spans="1:16" s="7" customFormat="1" x14ac:dyDescent="0.3">
      <c r="A45" s="6"/>
      <c r="B45" s="18" t="s">
        <v>6</v>
      </c>
      <c r="C45" s="19" t="s">
        <v>22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f t="shared" si="0"/>
        <v>0</v>
      </c>
    </row>
    <row r="46" spans="1:16" s="7" customFormat="1" x14ac:dyDescent="0.3">
      <c r="A46" s="6"/>
      <c r="B46" s="18" t="s">
        <v>39</v>
      </c>
      <c r="C46" s="19" t="s">
        <v>22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f>SUM(D46:O46)</f>
        <v>0</v>
      </c>
    </row>
    <row r="47" spans="1:16" s="7" customFormat="1" x14ac:dyDescent="0.3">
      <c r="A47" s="6"/>
      <c r="B47" s="18" t="s">
        <v>8</v>
      </c>
      <c r="C47" s="19" t="s">
        <v>22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f t="shared" si="0"/>
        <v>0</v>
      </c>
    </row>
    <row r="48" spans="1:16" s="7" customFormat="1" x14ac:dyDescent="0.3">
      <c r="A48" s="6"/>
      <c r="B48" s="18" t="s">
        <v>11</v>
      </c>
      <c r="C48" s="19" t="s">
        <v>22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f t="shared" si="0"/>
        <v>0</v>
      </c>
    </row>
    <row r="49" spans="1:16" s="7" customFormat="1" x14ac:dyDescent="0.3">
      <c r="A49" s="6"/>
      <c r="B49" s="20" t="s">
        <v>12</v>
      </c>
      <c r="C49" s="21" t="s">
        <v>22</v>
      </c>
      <c r="D49" s="26">
        <f t="shared" ref="D49:P49" si="6">D44-(D45+D46-D47+D48)</f>
        <v>0</v>
      </c>
      <c r="E49" s="26">
        <f t="shared" si="6"/>
        <v>0</v>
      </c>
      <c r="F49" s="26">
        <f t="shared" si="6"/>
        <v>0</v>
      </c>
      <c r="G49" s="26">
        <f t="shared" si="6"/>
        <v>0</v>
      </c>
      <c r="H49" s="26">
        <f t="shared" si="6"/>
        <v>0</v>
      </c>
      <c r="I49" s="26">
        <f t="shared" si="6"/>
        <v>0</v>
      </c>
      <c r="J49" s="26">
        <f t="shared" si="6"/>
        <v>0</v>
      </c>
      <c r="K49" s="26">
        <f t="shared" si="6"/>
        <v>0</v>
      </c>
      <c r="L49" s="26">
        <f t="shared" si="6"/>
        <v>0</v>
      </c>
      <c r="M49" s="26">
        <f t="shared" si="6"/>
        <v>0</v>
      </c>
      <c r="N49" s="26">
        <f t="shared" si="6"/>
        <v>0</v>
      </c>
      <c r="O49" s="26">
        <f t="shared" si="6"/>
        <v>0</v>
      </c>
      <c r="P49" s="26">
        <f t="shared" si="6"/>
        <v>0</v>
      </c>
    </row>
    <row r="50" spans="1:16" s="7" customFormat="1" x14ac:dyDescent="0.3">
      <c r="A50" s="6"/>
      <c r="B50" s="22"/>
      <c r="C50" s="23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</row>
    <row r="51" spans="1:16" s="7" customFormat="1" x14ac:dyDescent="0.3">
      <c r="A51" s="9">
        <v>2</v>
      </c>
      <c r="B51" s="24" t="s">
        <v>13</v>
      </c>
      <c r="C51" s="16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</row>
    <row r="52" spans="1:16" s="7" customFormat="1" ht="31.2" x14ac:dyDescent="0.3">
      <c r="A52" s="6"/>
      <c r="B52" s="18" t="s">
        <v>14</v>
      </c>
      <c r="C52" s="19" t="s">
        <v>5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f t="shared" si="0"/>
        <v>0</v>
      </c>
    </row>
    <row r="53" spans="1:16" s="7" customFormat="1" x14ac:dyDescent="0.3">
      <c r="A53" s="6"/>
      <c r="B53" s="18" t="s">
        <v>15</v>
      </c>
      <c r="C53" s="19" t="s">
        <v>5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f t="shared" si="0"/>
        <v>0</v>
      </c>
    </row>
    <row r="54" spans="1:16" s="7" customFormat="1" x14ac:dyDescent="0.3">
      <c r="A54" s="6"/>
      <c r="B54" s="18" t="s">
        <v>16</v>
      </c>
      <c r="C54" s="19" t="s">
        <v>5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f t="shared" si="0"/>
        <v>0</v>
      </c>
    </row>
    <row r="55" spans="1:16" s="7" customFormat="1" x14ac:dyDescent="0.3">
      <c r="A55" s="6"/>
      <c r="B55" s="18" t="s">
        <v>17</v>
      </c>
      <c r="C55" s="19" t="s">
        <v>5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f t="shared" si="0"/>
        <v>0</v>
      </c>
    </row>
    <row r="56" spans="1:16" s="7" customFormat="1" x14ac:dyDescent="0.3">
      <c r="A56" s="6"/>
      <c r="B56" s="18" t="s">
        <v>40</v>
      </c>
      <c r="C56" s="19" t="s">
        <v>5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f>SUM(D56:O56)</f>
        <v>0</v>
      </c>
    </row>
    <row r="57" spans="1:16" s="7" customFormat="1" x14ac:dyDescent="0.3">
      <c r="A57" s="6"/>
      <c r="B57" s="18" t="s">
        <v>41</v>
      </c>
      <c r="C57" s="19" t="s">
        <v>5</v>
      </c>
      <c r="D57" s="25">
        <v>0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f>SUM(D57:O57)</f>
        <v>0</v>
      </c>
    </row>
    <row r="58" spans="1:16" s="7" customFormat="1" x14ac:dyDescent="0.3">
      <c r="A58" s="6"/>
      <c r="B58" s="18" t="s">
        <v>18</v>
      </c>
      <c r="C58" s="19" t="s">
        <v>5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f t="shared" si="0"/>
        <v>0</v>
      </c>
    </row>
    <row r="59" spans="1:16" s="7" customFormat="1" x14ac:dyDescent="0.3">
      <c r="A59" s="6"/>
      <c r="B59" s="18" t="s">
        <v>19</v>
      </c>
      <c r="C59" s="19" t="s">
        <v>5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f t="shared" si="0"/>
        <v>0</v>
      </c>
    </row>
    <row r="60" spans="1:16" s="7" customFormat="1" x14ac:dyDescent="0.3">
      <c r="A60" s="6"/>
      <c r="B60" s="20" t="s">
        <v>12</v>
      </c>
      <c r="C60" s="21" t="s">
        <v>5</v>
      </c>
      <c r="D60" s="26">
        <f t="shared" ref="D60:P60" si="7">D52-(D53+D54+D55+D56+D57-D58-D59)</f>
        <v>0</v>
      </c>
      <c r="E60" s="26">
        <f t="shared" si="7"/>
        <v>0</v>
      </c>
      <c r="F60" s="26">
        <f t="shared" si="7"/>
        <v>0</v>
      </c>
      <c r="G60" s="26">
        <f t="shared" si="7"/>
        <v>0</v>
      </c>
      <c r="H60" s="26">
        <f t="shared" si="7"/>
        <v>0</v>
      </c>
      <c r="I60" s="26">
        <f t="shared" si="7"/>
        <v>0</v>
      </c>
      <c r="J60" s="26">
        <f t="shared" si="7"/>
        <v>0</v>
      </c>
      <c r="K60" s="26">
        <f t="shared" si="7"/>
        <v>0</v>
      </c>
      <c r="L60" s="26">
        <f t="shared" si="7"/>
        <v>0</v>
      </c>
      <c r="M60" s="26">
        <f t="shared" si="7"/>
        <v>0</v>
      </c>
      <c r="N60" s="26">
        <f t="shared" si="7"/>
        <v>0</v>
      </c>
      <c r="O60" s="26">
        <f t="shared" si="7"/>
        <v>0</v>
      </c>
      <c r="P60" s="26">
        <f t="shared" si="7"/>
        <v>0</v>
      </c>
    </row>
    <row r="61" spans="1:16" s="7" customFormat="1" x14ac:dyDescent="0.3">
      <c r="A61" s="6"/>
      <c r="B61" s="18"/>
      <c r="C61" s="19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5"/>
    </row>
    <row r="62" spans="1:16" s="7" customFormat="1" ht="31.2" x14ac:dyDescent="0.3">
      <c r="A62" s="6"/>
      <c r="B62" s="18" t="s">
        <v>14</v>
      </c>
      <c r="C62" s="19" t="s">
        <v>25</v>
      </c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f t="shared" si="0"/>
        <v>0</v>
      </c>
    </row>
    <row r="63" spans="1:16" s="7" customFormat="1" x14ac:dyDescent="0.3">
      <c r="A63" s="6"/>
      <c r="B63" s="18" t="s">
        <v>17</v>
      </c>
      <c r="C63" s="19" t="s">
        <v>25</v>
      </c>
      <c r="D63" s="25">
        <v>0</v>
      </c>
      <c r="E63" s="25">
        <v>0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f t="shared" si="0"/>
        <v>0</v>
      </c>
    </row>
    <row r="64" spans="1:16" s="7" customFormat="1" x14ac:dyDescent="0.3">
      <c r="A64" s="6"/>
      <c r="B64" s="20" t="s">
        <v>12</v>
      </c>
      <c r="C64" s="21" t="s">
        <v>25</v>
      </c>
      <c r="D64" s="26">
        <f>D62-D63</f>
        <v>0</v>
      </c>
      <c r="E64" s="26">
        <f t="shared" ref="E64:P64" si="8">E62-E63</f>
        <v>0</v>
      </c>
      <c r="F64" s="26">
        <f t="shared" si="8"/>
        <v>0</v>
      </c>
      <c r="G64" s="26">
        <f t="shared" si="8"/>
        <v>0</v>
      </c>
      <c r="H64" s="26">
        <f t="shared" si="8"/>
        <v>0</v>
      </c>
      <c r="I64" s="26">
        <f t="shared" si="8"/>
        <v>0</v>
      </c>
      <c r="J64" s="26">
        <f t="shared" si="8"/>
        <v>0</v>
      </c>
      <c r="K64" s="26">
        <f t="shared" si="8"/>
        <v>0</v>
      </c>
      <c r="L64" s="26">
        <f t="shared" si="8"/>
        <v>0</v>
      </c>
      <c r="M64" s="26">
        <f t="shared" si="8"/>
        <v>0</v>
      </c>
      <c r="N64" s="26">
        <f t="shared" si="8"/>
        <v>0</v>
      </c>
      <c r="O64" s="26">
        <f t="shared" si="8"/>
        <v>0</v>
      </c>
      <c r="P64" s="26">
        <f t="shared" si="8"/>
        <v>0</v>
      </c>
    </row>
    <row r="65" spans="1:16" s="7" customFormat="1" x14ac:dyDescent="0.3">
      <c r="A65" s="6"/>
      <c r="B65" s="22"/>
      <c r="C65" s="23"/>
      <c r="D65" s="25"/>
      <c r="E65" s="25"/>
      <c r="F65" s="25"/>
      <c r="G65" s="25"/>
      <c r="H65" s="25"/>
      <c r="I65" s="25">
        <v>0</v>
      </c>
      <c r="J65" s="25"/>
      <c r="K65" s="25"/>
      <c r="L65" s="25"/>
      <c r="M65" s="25"/>
      <c r="N65" s="25"/>
      <c r="O65" s="25"/>
      <c r="P65" s="25"/>
    </row>
    <row r="66" spans="1:16" s="7" customFormat="1" ht="31.2" x14ac:dyDescent="0.3">
      <c r="A66" s="6"/>
      <c r="B66" s="18" t="s">
        <v>14</v>
      </c>
      <c r="C66" s="19" t="s">
        <v>22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25">
        <f t="shared" si="0"/>
        <v>0</v>
      </c>
    </row>
    <row r="67" spans="1:16" s="7" customFormat="1" x14ac:dyDescent="0.3">
      <c r="A67" s="6"/>
      <c r="B67" s="18" t="s">
        <v>17</v>
      </c>
      <c r="C67" s="19" t="s">
        <v>22</v>
      </c>
      <c r="D67" s="25">
        <v>0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f t="shared" si="0"/>
        <v>0</v>
      </c>
    </row>
    <row r="68" spans="1:16" s="7" customFormat="1" x14ac:dyDescent="0.3">
      <c r="A68" s="6"/>
      <c r="B68" s="20" t="s">
        <v>12</v>
      </c>
      <c r="C68" s="21" t="s">
        <v>22</v>
      </c>
      <c r="D68" s="26">
        <f>D66-D67</f>
        <v>0</v>
      </c>
      <c r="E68" s="26">
        <f t="shared" ref="E68:O68" si="9">E66-E67</f>
        <v>0</v>
      </c>
      <c r="F68" s="26">
        <f t="shared" si="9"/>
        <v>0</v>
      </c>
      <c r="G68" s="26">
        <f t="shared" si="9"/>
        <v>0</v>
      </c>
      <c r="H68" s="26">
        <f t="shared" si="9"/>
        <v>0</v>
      </c>
      <c r="I68" s="26">
        <f t="shared" si="9"/>
        <v>0</v>
      </c>
      <c r="J68" s="26">
        <f t="shared" si="9"/>
        <v>0</v>
      </c>
      <c r="K68" s="26">
        <f t="shared" si="9"/>
        <v>0</v>
      </c>
      <c r="L68" s="26">
        <f t="shared" si="9"/>
        <v>0</v>
      </c>
      <c r="M68" s="26">
        <f t="shared" si="9"/>
        <v>0</v>
      </c>
      <c r="N68" s="26">
        <f t="shared" si="9"/>
        <v>0</v>
      </c>
      <c r="O68" s="26">
        <f t="shared" si="9"/>
        <v>0</v>
      </c>
      <c r="P68" s="26">
        <f>P66-P67</f>
        <v>0</v>
      </c>
    </row>
    <row r="69" spans="1:16" s="7" customFormat="1" x14ac:dyDescent="0.3">
      <c r="A69" s="6"/>
      <c r="B69" s="18"/>
      <c r="C69" s="19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5"/>
    </row>
    <row r="70" spans="1:16" s="7" customFormat="1" x14ac:dyDescent="0.3">
      <c r="A70" s="9">
        <v>3</v>
      </c>
      <c r="B70" s="24" t="s">
        <v>20</v>
      </c>
      <c r="C70" s="16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</row>
    <row r="71" spans="1:16" s="7" customFormat="1" ht="46.8" x14ac:dyDescent="0.3">
      <c r="A71" s="6"/>
      <c r="B71" s="18" t="s">
        <v>23</v>
      </c>
      <c r="C71" s="19" t="s">
        <v>5</v>
      </c>
      <c r="D71" s="27">
        <v>0</v>
      </c>
      <c r="E71" s="27">
        <v>0</v>
      </c>
      <c r="F71" s="27">
        <v>0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5">
        <f t="shared" si="0"/>
        <v>0</v>
      </c>
    </row>
    <row r="72" spans="1:16" s="7" customFormat="1" ht="31.2" x14ac:dyDescent="0.3">
      <c r="A72" s="6"/>
      <c r="B72" s="18" t="s">
        <v>24</v>
      </c>
      <c r="C72" s="19" t="s">
        <v>5</v>
      </c>
      <c r="D72" s="27">
        <v>0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5">
        <f t="shared" si="0"/>
        <v>0</v>
      </c>
    </row>
    <row r="73" spans="1:16" s="7" customFormat="1" x14ac:dyDescent="0.3">
      <c r="A73" s="6"/>
      <c r="B73" s="20" t="s">
        <v>12</v>
      </c>
      <c r="C73" s="21" t="s">
        <v>5</v>
      </c>
      <c r="D73" s="26">
        <f>D71-D72</f>
        <v>0</v>
      </c>
      <c r="E73" s="26">
        <f t="shared" ref="E73:P73" si="10">E71-E72</f>
        <v>0</v>
      </c>
      <c r="F73" s="26">
        <f t="shared" si="10"/>
        <v>0</v>
      </c>
      <c r="G73" s="26">
        <f t="shared" si="10"/>
        <v>0</v>
      </c>
      <c r="H73" s="26">
        <f t="shared" si="10"/>
        <v>0</v>
      </c>
      <c r="I73" s="26">
        <f t="shared" si="10"/>
        <v>0</v>
      </c>
      <c r="J73" s="26">
        <f t="shared" si="10"/>
        <v>0</v>
      </c>
      <c r="K73" s="26">
        <f t="shared" si="10"/>
        <v>0</v>
      </c>
      <c r="L73" s="26">
        <f t="shared" si="10"/>
        <v>0</v>
      </c>
      <c r="M73" s="26">
        <f t="shared" si="10"/>
        <v>0</v>
      </c>
      <c r="N73" s="26">
        <f t="shared" si="10"/>
        <v>0</v>
      </c>
      <c r="O73" s="26">
        <f t="shared" si="10"/>
        <v>0</v>
      </c>
      <c r="P73" s="26">
        <f t="shared" si="10"/>
        <v>0</v>
      </c>
    </row>
    <row r="74" spans="1:16" s="7" customFormat="1" x14ac:dyDescent="0.3">
      <c r="A74" s="6"/>
      <c r="B74" s="18"/>
      <c r="C74" s="19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5">
        <f t="shared" si="0"/>
        <v>0</v>
      </c>
    </row>
    <row r="75" spans="1:16" s="7" customFormat="1" x14ac:dyDescent="0.3">
      <c r="A75" s="9">
        <v>4</v>
      </c>
      <c r="B75" s="24" t="s">
        <v>28</v>
      </c>
      <c r="C75" s="16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</row>
    <row r="76" spans="1:16" s="7" customFormat="1" ht="31.2" x14ac:dyDescent="0.3">
      <c r="A76" s="6"/>
      <c r="B76" s="18" t="s">
        <v>29</v>
      </c>
      <c r="C76" s="19" t="s">
        <v>5</v>
      </c>
      <c r="D76" s="27">
        <v>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5">
        <f t="shared" si="0"/>
        <v>0</v>
      </c>
    </row>
    <row r="77" spans="1:16" s="7" customFormat="1" x14ac:dyDescent="0.3">
      <c r="A77" s="6"/>
      <c r="B77" s="18" t="s">
        <v>30</v>
      </c>
      <c r="C77" s="19" t="s">
        <v>5</v>
      </c>
      <c r="D77" s="27">
        <v>0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5">
        <f t="shared" si="0"/>
        <v>0</v>
      </c>
    </row>
    <row r="78" spans="1:16" s="7" customFormat="1" x14ac:dyDescent="0.3">
      <c r="A78" s="6"/>
      <c r="B78" s="20" t="s">
        <v>12</v>
      </c>
      <c r="C78" s="21" t="s">
        <v>5</v>
      </c>
      <c r="D78" s="26">
        <f>D76-D77</f>
        <v>0</v>
      </c>
      <c r="E78" s="26">
        <f t="shared" ref="E78:P78" si="11">E76-E77</f>
        <v>0</v>
      </c>
      <c r="F78" s="26">
        <f t="shared" si="11"/>
        <v>0</v>
      </c>
      <c r="G78" s="26">
        <f t="shared" si="11"/>
        <v>0</v>
      </c>
      <c r="H78" s="26">
        <f t="shared" si="11"/>
        <v>0</v>
      </c>
      <c r="I78" s="26">
        <f t="shared" si="11"/>
        <v>0</v>
      </c>
      <c r="J78" s="26">
        <f t="shared" si="11"/>
        <v>0</v>
      </c>
      <c r="K78" s="26">
        <f t="shared" si="11"/>
        <v>0</v>
      </c>
      <c r="L78" s="26">
        <f t="shared" si="11"/>
        <v>0</v>
      </c>
      <c r="M78" s="26">
        <f t="shared" si="11"/>
        <v>0</v>
      </c>
      <c r="N78" s="26">
        <f t="shared" si="11"/>
        <v>0</v>
      </c>
      <c r="O78" s="26">
        <f t="shared" si="11"/>
        <v>0</v>
      </c>
      <c r="P78" s="26">
        <f t="shared" si="11"/>
        <v>0</v>
      </c>
    </row>
    <row r="79" spans="1:16" s="7" customFormat="1" x14ac:dyDescent="0.3">
      <c r="A79" s="6"/>
      <c r="B79" s="18"/>
      <c r="C79" s="19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5">
        <f t="shared" si="0"/>
        <v>0</v>
      </c>
    </row>
    <row r="80" spans="1:16" s="7" customFormat="1" ht="31.2" x14ac:dyDescent="0.3">
      <c r="A80" s="6"/>
      <c r="B80" s="18" t="s">
        <v>29</v>
      </c>
      <c r="C80" s="19" t="s">
        <v>25</v>
      </c>
      <c r="D80" s="27">
        <v>0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5">
        <f t="shared" si="0"/>
        <v>0</v>
      </c>
    </row>
    <row r="81" spans="1:16" s="7" customFormat="1" x14ac:dyDescent="0.3">
      <c r="A81" s="6"/>
      <c r="B81" s="18" t="s">
        <v>30</v>
      </c>
      <c r="C81" s="19" t="s">
        <v>25</v>
      </c>
      <c r="D81" s="27">
        <v>0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5">
        <f t="shared" si="0"/>
        <v>0</v>
      </c>
    </row>
    <row r="82" spans="1:16" s="7" customFormat="1" x14ac:dyDescent="0.3">
      <c r="A82" s="6"/>
      <c r="B82" s="20" t="s">
        <v>12</v>
      </c>
      <c r="C82" s="21" t="s">
        <v>25</v>
      </c>
      <c r="D82" s="26">
        <f>D80-D81</f>
        <v>0</v>
      </c>
      <c r="E82" s="26">
        <f t="shared" ref="E82:P82" si="12">E80-E81</f>
        <v>0</v>
      </c>
      <c r="F82" s="26">
        <f t="shared" si="12"/>
        <v>0</v>
      </c>
      <c r="G82" s="26">
        <f t="shared" si="12"/>
        <v>0</v>
      </c>
      <c r="H82" s="26">
        <f t="shared" si="12"/>
        <v>0</v>
      </c>
      <c r="I82" s="26">
        <f t="shared" si="12"/>
        <v>0</v>
      </c>
      <c r="J82" s="26">
        <f t="shared" si="12"/>
        <v>0</v>
      </c>
      <c r="K82" s="26">
        <f t="shared" si="12"/>
        <v>0</v>
      </c>
      <c r="L82" s="26">
        <f t="shared" si="12"/>
        <v>0</v>
      </c>
      <c r="M82" s="26">
        <f t="shared" si="12"/>
        <v>0</v>
      </c>
      <c r="N82" s="26">
        <f t="shared" si="12"/>
        <v>0</v>
      </c>
      <c r="O82" s="26">
        <f t="shared" si="12"/>
        <v>0</v>
      </c>
      <c r="P82" s="26">
        <f t="shared" si="12"/>
        <v>0</v>
      </c>
    </row>
    <row r="83" spans="1:16" s="7" customFormat="1" x14ac:dyDescent="0.3">
      <c r="A83" s="6"/>
      <c r="B83" s="18"/>
      <c r="C83" s="19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5"/>
    </row>
    <row r="84" spans="1:16" s="7" customFormat="1" ht="31.2" x14ac:dyDescent="0.3">
      <c r="A84" s="6"/>
      <c r="B84" s="18" t="s">
        <v>29</v>
      </c>
      <c r="C84" s="19" t="s">
        <v>26</v>
      </c>
      <c r="D84" s="27">
        <v>0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5">
        <f t="shared" ref="P84:P98" si="13">SUM(D84:O84)</f>
        <v>0</v>
      </c>
    </row>
    <row r="85" spans="1:16" s="7" customFormat="1" x14ac:dyDescent="0.3">
      <c r="A85" s="6"/>
      <c r="B85" s="18" t="s">
        <v>30</v>
      </c>
      <c r="C85" s="19" t="s">
        <v>26</v>
      </c>
      <c r="D85" s="27">
        <v>0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5">
        <f t="shared" si="13"/>
        <v>0</v>
      </c>
    </row>
    <row r="86" spans="1:16" s="7" customFormat="1" x14ac:dyDescent="0.3">
      <c r="A86" s="6"/>
      <c r="B86" s="20" t="s">
        <v>12</v>
      </c>
      <c r="C86" s="21" t="s">
        <v>26</v>
      </c>
      <c r="D86" s="26">
        <f>D84-D85</f>
        <v>0</v>
      </c>
      <c r="E86" s="26">
        <f t="shared" ref="E86:P86" si="14">E84-E85</f>
        <v>0</v>
      </c>
      <c r="F86" s="26">
        <f t="shared" si="14"/>
        <v>0</v>
      </c>
      <c r="G86" s="26">
        <f t="shared" si="14"/>
        <v>0</v>
      </c>
      <c r="H86" s="26">
        <f t="shared" si="14"/>
        <v>0</v>
      </c>
      <c r="I86" s="26">
        <f t="shared" si="14"/>
        <v>0</v>
      </c>
      <c r="J86" s="26">
        <f t="shared" si="14"/>
        <v>0</v>
      </c>
      <c r="K86" s="26">
        <f t="shared" si="14"/>
        <v>0</v>
      </c>
      <c r="L86" s="26">
        <f t="shared" si="14"/>
        <v>0</v>
      </c>
      <c r="M86" s="26">
        <f t="shared" si="14"/>
        <v>0</v>
      </c>
      <c r="N86" s="26">
        <f t="shared" si="14"/>
        <v>0</v>
      </c>
      <c r="O86" s="26">
        <f t="shared" si="14"/>
        <v>0</v>
      </c>
      <c r="P86" s="26">
        <f t="shared" si="14"/>
        <v>0</v>
      </c>
    </row>
    <row r="87" spans="1:16" s="7" customFormat="1" x14ac:dyDescent="0.3">
      <c r="A87" s="6"/>
      <c r="B87" s="18"/>
      <c r="C87" s="19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5"/>
    </row>
    <row r="88" spans="1:16" s="7" customFormat="1" ht="31.2" x14ac:dyDescent="0.3">
      <c r="A88" s="6"/>
      <c r="B88" s="18" t="s">
        <v>29</v>
      </c>
      <c r="C88" s="19" t="s">
        <v>27</v>
      </c>
      <c r="D88" s="27">
        <v>0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5">
        <f t="shared" si="13"/>
        <v>0</v>
      </c>
    </row>
    <row r="89" spans="1:16" s="7" customFormat="1" x14ac:dyDescent="0.3">
      <c r="A89" s="6"/>
      <c r="B89" s="18" t="s">
        <v>30</v>
      </c>
      <c r="C89" s="19" t="s">
        <v>27</v>
      </c>
      <c r="D89" s="27">
        <v>0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5">
        <f t="shared" si="13"/>
        <v>0</v>
      </c>
    </row>
    <row r="90" spans="1:16" s="7" customFormat="1" x14ac:dyDescent="0.3">
      <c r="A90" s="6"/>
      <c r="B90" s="20" t="s">
        <v>12</v>
      </c>
      <c r="C90" s="21" t="s">
        <v>27</v>
      </c>
      <c r="D90" s="26">
        <f>D88-D89</f>
        <v>0</v>
      </c>
      <c r="E90" s="26">
        <f t="shared" ref="E90:P90" si="15">E88-E89</f>
        <v>0</v>
      </c>
      <c r="F90" s="26">
        <f t="shared" si="15"/>
        <v>0</v>
      </c>
      <c r="G90" s="26">
        <f t="shared" si="15"/>
        <v>0</v>
      </c>
      <c r="H90" s="26">
        <f t="shared" si="15"/>
        <v>0</v>
      </c>
      <c r="I90" s="26">
        <f t="shared" si="15"/>
        <v>0</v>
      </c>
      <c r="J90" s="26">
        <f t="shared" si="15"/>
        <v>0</v>
      </c>
      <c r="K90" s="26">
        <f t="shared" si="15"/>
        <v>0</v>
      </c>
      <c r="L90" s="26">
        <f t="shared" si="15"/>
        <v>0</v>
      </c>
      <c r="M90" s="26">
        <f t="shared" si="15"/>
        <v>0</v>
      </c>
      <c r="N90" s="26">
        <f t="shared" si="15"/>
        <v>0</v>
      </c>
      <c r="O90" s="26">
        <f t="shared" si="15"/>
        <v>0</v>
      </c>
      <c r="P90" s="26">
        <f t="shared" si="15"/>
        <v>0</v>
      </c>
    </row>
    <row r="91" spans="1:16" s="7" customFormat="1" x14ac:dyDescent="0.3">
      <c r="A91" s="6"/>
      <c r="B91" s="18"/>
      <c r="C91" s="19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5"/>
    </row>
    <row r="92" spans="1:16" s="7" customFormat="1" ht="31.2" x14ac:dyDescent="0.3">
      <c r="A92" s="6"/>
      <c r="B92" s="18" t="s">
        <v>29</v>
      </c>
      <c r="C92" s="19" t="s">
        <v>22</v>
      </c>
      <c r="D92" s="27">
        <v>0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5">
        <f t="shared" si="13"/>
        <v>0</v>
      </c>
    </row>
    <row r="93" spans="1:16" s="7" customFormat="1" x14ac:dyDescent="0.3">
      <c r="A93" s="6"/>
      <c r="B93" s="18" t="s">
        <v>30</v>
      </c>
      <c r="C93" s="19" t="s">
        <v>22</v>
      </c>
      <c r="D93" s="27">
        <v>0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5">
        <f t="shared" si="13"/>
        <v>0</v>
      </c>
    </row>
    <row r="94" spans="1:16" s="7" customFormat="1" x14ac:dyDescent="0.3">
      <c r="A94" s="6"/>
      <c r="B94" s="20" t="s">
        <v>12</v>
      </c>
      <c r="C94" s="21" t="s">
        <v>22</v>
      </c>
      <c r="D94" s="26">
        <f>D92-D93</f>
        <v>0</v>
      </c>
      <c r="E94" s="26">
        <f t="shared" ref="E94:P94" si="16">E92-E93</f>
        <v>0</v>
      </c>
      <c r="F94" s="26">
        <f t="shared" si="16"/>
        <v>0</v>
      </c>
      <c r="G94" s="26">
        <f t="shared" si="16"/>
        <v>0</v>
      </c>
      <c r="H94" s="26">
        <f t="shared" si="16"/>
        <v>0</v>
      </c>
      <c r="I94" s="26">
        <f t="shared" si="16"/>
        <v>0</v>
      </c>
      <c r="J94" s="26">
        <f t="shared" si="16"/>
        <v>0</v>
      </c>
      <c r="K94" s="26">
        <f t="shared" si="16"/>
        <v>0</v>
      </c>
      <c r="L94" s="26">
        <f t="shared" si="16"/>
        <v>0</v>
      </c>
      <c r="M94" s="26">
        <f t="shared" si="16"/>
        <v>0</v>
      </c>
      <c r="N94" s="26">
        <f t="shared" si="16"/>
        <v>0</v>
      </c>
      <c r="O94" s="26">
        <f t="shared" si="16"/>
        <v>0</v>
      </c>
      <c r="P94" s="26">
        <f t="shared" si="16"/>
        <v>0</v>
      </c>
    </row>
    <row r="95" spans="1:16" s="7" customFormat="1" x14ac:dyDescent="0.3">
      <c r="A95" s="6"/>
      <c r="B95" s="18"/>
      <c r="C95" s="19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5"/>
    </row>
    <row r="96" spans="1:16" s="7" customFormat="1" x14ac:dyDescent="0.3">
      <c r="A96" s="9">
        <v>5</v>
      </c>
      <c r="B96" s="24" t="s">
        <v>21</v>
      </c>
      <c r="C96" s="16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</row>
    <row r="97" spans="1:16" s="7" customFormat="1" ht="31.2" x14ac:dyDescent="0.3">
      <c r="A97" s="6"/>
      <c r="B97" s="18" t="s">
        <v>34</v>
      </c>
      <c r="C97" s="19" t="s">
        <v>5</v>
      </c>
      <c r="D97" s="27">
        <v>0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5">
        <f t="shared" si="13"/>
        <v>0</v>
      </c>
    </row>
    <row r="98" spans="1:16" s="7" customFormat="1" x14ac:dyDescent="0.3">
      <c r="A98" s="6"/>
      <c r="B98" s="18" t="s">
        <v>31</v>
      </c>
      <c r="C98" s="19" t="s">
        <v>5</v>
      </c>
      <c r="D98" s="27">
        <v>0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5">
        <f t="shared" si="13"/>
        <v>0</v>
      </c>
    </row>
    <row r="99" spans="1:16" s="7" customFormat="1" x14ac:dyDescent="0.3">
      <c r="A99" s="6"/>
      <c r="B99" s="20" t="s">
        <v>12</v>
      </c>
      <c r="C99" s="21" t="s">
        <v>5</v>
      </c>
      <c r="D99" s="26">
        <f>D97-D98</f>
        <v>0</v>
      </c>
      <c r="E99" s="26">
        <f t="shared" ref="E99:P99" si="17">E97-E98</f>
        <v>0</v>
      </c>
      <c r="F99" s="26">
        <f t="shared" si="17"/>
        <v>0</v>
      </c>
      <c r="G99" s="26">
        <f t="shared" si="17"/>
        <v>0</v>
      </c>
      <c r="H99" s="26">
        <f t="shared" si="17"/>
        <v>0</v>
      </c>
      <c r="I99" s="26">
        <f t="shared" si="17"/>
        <v>0</v>
      </c>
      <c r="J99" s="26">
        <f t="shared" si="17"/>
        <v>0</v>
      </c>
      <c r="K99" s="26">
        <f t="shared" si="17"/>
        <v>0</v>
      </c>
      <c r="L99" s="26">
        <f t="shared" si="17"/>
        <v>0</v>
      </c>
      <c r="M99" s="26">
        <f t="shared" si="17"/>
        <v>0</v>
      </c>
      <c r="N99" s="26">
        <f t="shared" si="17"/>
        <v>0</v>
      </c>
      <c r="O99" s="26">
        <f t="shared" si="17"/>
        <v>0</v>
      </c>
      <c r="P99" s="26">
        <f t="shared" si="17"/>
        <v>0</v>
      </c>
    </row>
    <row r="100" spans="1:16" s="7" customFormat="1" x14ac:dyDescent="0.3">
      <c r="A100" s="6"/>
      <c r="B100" s="10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</row>
  </sheetData>
  <mergeCells count="9">
    <mergeCell ref="A1:P1"/>
    <mergeCell ref="B3:C3"/>
    <mergeCell ref="D3:P3"/>
    <mergeCell ref="B2:C2"/>
    <mergeCell ref="D2:P2"/>
    <mergeCell ref="B4:C4"/>
    <mergeCell ref="D4:P4"/>
    <mergeCell ref="B5:C5"/>
    <mergeCell ref="D5:P5"/>
  </mergeCells>
  <pageMargins left="0.25" right="0.25" top="0.75" bottom="0.75" header="0.3" footer="0.3"/>
  <pageSetup scale="59" fitToHeight="0" orientation="landscape" horizontalDpi="0" verticalDpi="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GSTR3B VS GSTR1</vt:lpstr>
      <vt:lpstr>'GSTR3B VS GSTR1'!Print_Titles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Gajanand</dc:creator>
  <cp:lastModifiedBy>RAJ</cp:lastModifiedBy>
  <cp:lastPrinted>2026-03-28T13:23:16Z</cp:lastPrinted>
  <dcterms:created xsi:type="dcterms:W3CDTF">2025-02-13T04:54:08Z</dcterms:created>
  <dcterms:modified xsi:type="dcterms:W3CDTF">2026-03-28T13:23:20Z</dcterms:modified>
</cp:coreProperties>
</file>